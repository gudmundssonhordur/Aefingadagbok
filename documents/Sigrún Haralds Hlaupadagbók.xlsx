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kt - des 26" sheetId="1" r:id="rId4"/>
    <sheet state="visible" name="des 26 - feb 27" sheetId="2" r:id="rId5"/>
    <sheet state="visible" name="feb - apríl 27" sheetId="3" r:id="rId6"/>
    <sheet state="visible" name="Það sem ég hugsa um þegar ég hl"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tc={3ba3d7d8-2ee7-4662-a185-f447db12228d}</author>
    <author>tc={64569d7f-161f-44aa-83f9-81aa28666dd6}</author>
    <author>tc={88ce2718-c7bf-4316-98ba-1d098b7858d2}</author>
    <author>tc={8dabdc9f-12d1-40e3-8227-75ffca8f0019}</author>
    <author>tc={95cdecfd-1699-4aef-9312-37c74c0072b9}</author>
    <author>tc={ccb1878e-8230-4b2f-bdc6-5e42c4fae3ba}</author>
    <author>tc={e20eba99-820c-4af4-9a12-dec76639449f}</author>
  </authors>
  <commentList>
    <comment authorId="0" xr:uid="{3ba3d7d8-2ee7-4662-a185-f447db12228d}" ref="L8">
      <text>
        <t xml:space="preserve">[Threaded comment]
 Your version of Excel allows you to read this threaded comment; however, any edits to it will get removed if the file is opened in a newer version of Excel. Learn more: https://go.microsoft.com/fwlink/?linkid=870924
Comment:
	40 mín utanvega -&gt; 12 mín E að brekku, 1' upp og 1'rólegt niður+1'alveg hvíld *6 rólegt skokk heim (reyndar allt upp í móti :) . Leið vel og fannst ég bara halda fínum "hraða" upp og fann bara fyrir smá læraþreytu í síðustu ferðinni. Brekkan frekar brött - hestastígur upp frá vatni. Av púls 160 og pace 8:20
</t>
      </text>
    </comment>
    <comment authorId="1" xr:uid="{64569d7f-161f-44aa-83f9-81aa28666dd6}" ref="H8">
      <text>
        <t xml:space="preserve">[Threaded comment]
 Your version of Excel allows you to read this threaded comment; however, any edits to it will get removed if the file is opened in a newer version of Excel. Learn more: https://go.microsoft.com/fwlink/?linkid=870924
Comment:
	Mánudagsæfing tekin á sunnudegi -fór utanvegar stíga, leið vel og hljóp í tæpar 38 mín. Fann aðeins fyrir mjöðm og þreytu í lærum í lokin..sem var smá sjokker. 113m hækkun, av pace 7:14 avg púls 155.
</t>
      </text>
    </comment>
    <comment authorId="2" xr:uid="{88ce2718-c7bf-4316-98ba-1d098b7858d2}" ref="J10">
      <text>
        <t xml:space="preserve">[Threaded comment]
 Your version of Excel allows you to read this threaded comment; however, any edits to it will get removed if the file is opened in a newer version of Excel. Learn more: https://go.microsoft.com/fwlink/?linkid=870924
Comment:
	Utanvegar að heiman, fór aðeins of langt og of mikið af brekkum til að þetta yrði mjög easy. ..en leið samt bara vel en fann aðeins fyrir mjöðminni. Tími 47mín, Av pace:7:17 Av HR: 146, hækkun 150m. Finn vel fyrir mjöðm og stífu baki 2-3 tímum eftir hlaup.Tek lyftingar á morgun ef betri.
Reply:
	@petursson.arnar@gmail.com varðandi næstu æfingu þar sem er pace 6:20-6:30 erum við þá að tala um á frekar sléttum stígum (malbik) eða utanvegar með brekkum?
Reply:
	Marked as resolved
Reply:
	Já, gott að hafa í huga að þegar ég set inn pace þá er það alltaf miðað við góðar aðstæður, þannig ef þú ert á stígum eða í vindi eða brekkum þá máttu hægja vel á þér og hgusa meira um fílinginn sem væri á hraðanum sem er settur fyrir í flötum aðstæðum.
1 total reaction
Sigrún Haraldsdóttir reacted with 👍 at 10/15/2026, 7:08 PM UTC
Re-opened
</t>
      </text>
    </comment>
    <comment authorId="3" xr:uid="{8dabdc9f-12d1-40e3-8227-75ffca8f0019}" ref="I8">
      <text>
        <t xml:space="preserve">[Threaded comment]
 Your version of Excel allows you to read this threaded comment; however, any edits to it will get removed if the file is opened in a newer version of Excel. Learn more: https://go.microsoft.com/fwlink/?linkid=870924
Comment:
	Rólegar 40 mínútur utanvega, 120m hækkun. Leið vel, fannst ég þó mjög móð fyrstu 500m, hægði á mér og leið vel það sem eftir var hlaups. Fann ekki fyrir mjöðm né baki. Var mjög stíf í baki eftir sunnudagshlaup. Avg púls 159 pace 7:10
</t>
      </text>
    </comment>
    <comment authorId="4" xr:uid="{95cdecfd-1699-4aef-9312-37c74c0072b9}" ref="H10">
      <text>
        <t xml:space="preserve">[Threaded comment]
 Your version of Excel allows you to read this threaded comment; however, any edits to it will get removed if the file is opened in a newer version of Excel. Learn more: https://go.microsoft.com/fwlink/?linkid=870924
Comment:
	Fór út í ógeðslegu roki, rigningu og hagléli. Fannst þetta geggjuð æfing og leið vel. Fór á malbik þar sem mér þótti nóg að díla við veðrið þar en ekki út í móa. Var 35:30 mínútur, pace 6:17, 95m hækkun. Avg HR:152. En að díla við stíft bak.
</t>
      </text>
    </comment>
    <comment authorId="5" xr:uid="{ccb1878e-8230-4b2f-bdc6-5e42c4fae3ba}" ref="I9">
      <text>
        <t xml:space="preserve">[Threaded comment]
 Your version of Excel allows you to read this threaded comment; however, any edits to it will get removed if the file is opened in a newer version of Excel. Learn more: https://go.microsoft.com/fwlink/?linkid=870924
Comment:
	mjaðma/bak æfingar frá sjúkraþjálfara, styrktaræfingar úr prógramminu.
</t>
      </text>
    </comment>
    <comment authorId="6" xr:uid="{e20eba99-820c-4af4-9a12-dec76639449f}" ref="M10">
      <text>
        <t xml:space="preserve">[Threaded comment]
 Your version of Excel allows you to read this threaded comment; however, any edits to it will get removed if the file is opened in a newer version of Excel. Learn more: https://go.microsoft.com/fwlink/?linkid=870924
Comment:
	fór snemma út, hvasst í efri byggðum. Fattaði þegar ég var að kveikja á úrinu að það var að verða batteríslaust...kveikti á strava í símanum svo enginn HR eða farið eftir pace fyrirmælum :/..en gerði mitt besta. Var frekar þung og þreytt í dag fann fyrir mjöðm og niður í fót í lokin. Alltaf gott þegar búið.
</t>
      </text>
    </comment>
  </commentList>
</comments>
</file>

<file path=xl/sharedStrings.xml><?xml version="1.0" encoding="utf-8"?>
<sst xmlns="http://schemas.openxmlformats.org/spreadsheetml/2006/main" count="170" uniqueCount="74">
  <si>
    <t>Það sem þú átt að hugsa um þegar þú hleypur. 
Í mikilvægisröð</t>
  </si>
  <si>
    <t>Gott að hafa í huga í keppnum</t>
  </si>
  <si>
    <r>
      <rPr>
        <rFont val="Arial"/>
        <b/>
        <sz val="11.0"/>
      </rPr>
      <t xml:space="preserve">1. Afslappaðar axlir. 
</t>
    </r>
    <r>
      <rPr>
        <rFont val="Arial"/>
        <sz val="11.0"/>
      </rPr>
      <t xml:space="preserve">
Er ég með afslappaðar axlir? 
Er kjálkinn á mér afslappaður? 
- Afslappaður kjálki hjálpar öxlunum að slappa af og afslappaðar axlir eru orkusparandi og gefa hagkvæmari hlaupastíl.</t>
    </r>
  </si>
  <si>
    <r>
      <rPr>
        <rFont val="Arial"/>
        <b/>
        <sz val="11.0"/>
      </rPr>
      <t xml:space="preserve">1. Upp í móti brekkur drepa
</t>
    </r>
    <r>
      <rPr>
        <rFont val="Arial"/>
        <sz val="11.0"/>
      </rPr>
      <t xml:space="preserve">
Ef þú reynir að halda sama hraða í upp í móti brekkum og á jafnsléttu þá muntu tapa meira á því heldur en þú græðir.
 - Reyndu að halda svipaðri ákefð í gegnum hlaupið og farðu frekar hægar upp brekkurnar heldur en hraðar.</t>
    </r>
  </si>
  <si>
    <r>
      <rPr>
        <rFont val="Arial"/>
        <b/>
        <sz val="11.0"/>
      </rPr>
      <t>2. Handahreyfingar.</t>
    </r>
    <r>
      <rPr>
        <rFont val="Arial"/>
        <sz val="11.0"/>
      </rPr>
      <t xml:space="preserve"> 
Er ég að hreyfa hendurnar beint aftur?
Er ég að hreyfa þær of mikið til hliðar? 
Eru hendurnar að skera miðlínuna á líkamanum? 
Eru hendurnar nálægt 90 gráðum þegar ég hreyfi þær afturábak? 
 - Ef hendurnar eru ekki að fara beint aftur og hendurnar að fara of mikið til hliðar þá tapast orka til hliðar í staðinn fyrir að ýta okkur beint áfram. Með því að hafa hendurnar nálægt 90 gráðum þegar þú hendir þeim aftur á bak þá notarðu pendúlinn hjá öxlunum betur til þess að nýta alla orkuna sem fer í að ýta þeim aftur til þess að ýta þér áfram. Ef hendurnar eru of lokaðar (hornið við olnboga minna en 30° þá verður líka meiri spenna í öxlunum og það er erfiðara að halda afslöppuðum hlaupastíl.</t>
    </r>
  </si>
  <si>
    <r>
      <rPr>
        <rFont val="Arial"/>
        <b/>
        <sz val="11.0"/>
      </rPr>
      <t xml:space="preserve">2. Niður í móti brekkur skal nýta
</t>
    </r>
    <r>
      <rPr>
        <rFont val="Arial"/>
        <sz val="11.0"/>
      </rPr>
      <t xml:space="preserve">
Ef það kemur brekka niður í móti reyndu þá að nýta tækifærið og að slappa af og að rúlla vel, ekki taka á móti höggunum heldur hugsaðu um að hafa góðan framhalla í líkamsstöðunni og láttu þyngdaraflið vinna með þér. Reyndu að taka aðeins stærri skref en á sama tíma að lágmarka snertitíma fótanna við jörðina. Þér á að líða eins og fæturnir skjótist af jörðinni.
 - Þegar það koma niður í móti kaflar þá lækkar hjartslátturinn því það er auðveldara að fara á góðum hraða, hinsvegar lækkar hann ekki ef við náum ekki að vera afslöppuð. Með því að lágmarka snertitímann við jörðina þá minnkum við höggið sem verður í niður í mót hlaupinu og leyfum þyngdaraflinu að vinna sem mest með okkur.</t>
    </r>
  </si>
  <si>
    <r>
      <rPr>
        <rFont val="Arial"/>
        <b/>
        <sz val="11.0"/>
      </rPr>
      <t xml:space="preserve">3. Vertu í skjóli
</t>
    </r>
    <r>
      <rPr>
        <rFont val="Arial"/>
        <sz val="11.0"/>
      </rPr>
      <t xml:space="preserve">
Vertu óhrædd/ur að skýla þér á bakvið hlaupara þegar þú hleypur á móti vind. Það getur verið mjög orkusparandi og þá þurfum við ekki að hugsa um að halda uppi ákveðnum hraða heldur bara að passa að viðkomandi sleppi ekki frá okkur.</t>
    </r>
  </si>
  <si>
    <r>
      <rPr>
        <rFont val="Arial"/>
        <b/>
        <sz val="11.0"/>
      </rPr>
      <t xml:space="preserve">3. Líkamsstaða
</t>
    </r>
    <r>
      <rPr>
        <rFont val="Arial"/>
        <sz val="11.0"/>
      </rPr>
      <t xml:space="preserve">
Er ég með upprétta líkamsstöðu eins og það sé spotti sem togar höfuðið upp?
Er ég með meðvitaða líkamsstöðu og virkan nafla?
Er ég með opinn brjóstkassa?
Er ég með fatt bak?
- Ef við erum ekki með upprétta líkamsstöðu þá eigum við til að missa brjóstkassann í lokaða stöðu sem minnkar lungnarýmið þannig að við tökum inn minna súrefni, þá eigum við líka til að láta hendurnar byrja að sveiflast meira til hliðanna og orka tapast. Það er líka erfiðara að hlaupa á miðfætinum þegar líkamsstaðan er hokin. Einnig setur of mikill framhalli of mikið álag á mjóbakið. Virkur nafli hjálpar til við að halda réttri líkamsstöðu og passar upp á að bakið fettist ekki og að brjóstkassinn haldist opinn. Ef við erum með fatt bak þá er hreyfiferill fótleggjanna takmarkaður, hnélyftan verður minni og hælarnir fara of mikið aftur.</t>
    </r>
  </si>
  <si>
    <r>
      <rPr>
        <rFont val="Arial"/>
        <b/>
        <sz val="11.0"/>
      </rPr>
      <t xml:space="preserve">4. Verum meðvituð um meðvindinn
</t>
    </r>
    <r>
      <rPr>
        <rFont val="Arial"/>
        <sz val="11.0"/>
      </rPr>
      <t xml:space="preserve">
Mundu að nýta meðvindinn.
 - Þegar það er meðvindur þá er mikilvægt að vera meðvitaður um hann og reyna að leyfa honum að ýta sér áfram og vera afslappaður í líkamanum á meðan, ef maður gleymir að hugsa um að nýta meðvindinn þá missir maður af tækifærinu á að "hvíla sig" í keppninni.</t>
    </r>
  </si>
  <si>
    <r>
      <rPr>
        <rFont val="Arial"/>
        <b/>
        <sz val="11.0"/>
      </rPr>
      <t xml:space="preserve">4. Beiting fóta
</t>
    </r>
    <r>
      <rPr>
        <rFont val="Arial"/>
        <sz val="11.0"/>
      </rPr>
      <t xml:space="preserve">
Er ég að lenda á miðfætinum?
Er ég að lenda á hælnum?
Er ég að taka nægilega mörg skref á mínútu?
Er ég að spyrna mér beint áfram þegar ég lendi á fætinum?
Vísa tærnar beint áfram og beint afturábak í hverju skrefi?
 - Ef við lendum á hælnum þegar við hlaupum þá erum við í raun að stoppa okkur í hverju skrefi, til að bæta úr þessu er hægt til dæmis að reyna að halla sér meira fram. Við ættum alltaf að taka á milli 175-195 skref á mínútu sama hvaða hraði það er. Þetta veldur því að það er minna álag á liðina og við höfum styttri tíma sem við erum á jörðinni sem gerir það auðveldara að hlaupa hratt í langan tíma. Ef táin vísar ekki beint áfram og beint afturábak í hverju skrefi er orka að tapast til hliðar.</t>
    </r>
  </si>
  <si>
    <r>
      <rPr>
        <rFont val="Arial"/>
        <b/>
        <sz val="11.0"/>
      </rPr>
      <t xml:space="preserve">5. Finndu þér verðuga keppinauta
</t>
    </r>
    <r>
      <rPr>
        <rFont val="Arial"/>
        <sz val="11.0"/>
      </rPr>
      <t xml:space="preserve">
Reyndu að finna keppinauta sem eru að fara á svipuðum hraða og þú vilt hlaupa á.
 - Með því að hengja sig á annan keppanda og láta hann um að stjórna hraðanum færð þú tækifæri á að slaka á í hausnum og getur einbeitt þér að því að halda hagkvæmum hlaupastíl og þarft ekki að hugsa um hraðann. Heilinn notar orku til að starfa og hans helsti orkugjafi eru kolvetni en við viljum helst nota okkar kolvetni í að hlaupa hratt en ekki hugsa um hraðann.</t>
    </r>
  </si>
  <si>
    <r>
      <rPr>
        <rFont val="Arial"/>
        <b/>
        <sz val="11.0"/>
      </rPr>
      <t xml:space="preserve">6. Mundu eftir líkamsstöðunni
</t>
    </r>
    <r>
      <rPr>
        <rFont val="Arial"/>
        <sz val="11.0"/>
      </rPr>
      <t xml:space="preserve">
Reyndu að muna eftir líkamsstöðunni í hlaupinu. Helst á þetta að vera það vel æft að þú þurfir ekki að pæla í þessu en oft á tíðum getur verið gott að minna sig á að slaka á í öxlunum, halda brjóstkassanum opnum, nýta hendurnar og passa tíðnina í skrefunum. Þetta getur hjálpað sérstaklega þegar maður finnur að þreytan byrjar að sækja að.</t>
    </r>
  </si>
  <si>
    <r>
      <rPr>
        <rFont val="Arial"/>
        <b/>
        <sz val="11.0"/>
      </rPr>
      <t xml:space="preserve">5. Framhalli
</t>
    </r>
    <r>
      <rPr>
        <rFont val="Arial"/>
        <sz val="11.0"/>
      </rPr>
      <t xml:space="preserve">
Er ég að halla mér nógu mikið fram?
 - Ef þú hallar þér ekki nógu mikið fram þá ertu að missa af því að nýta þyngdaraflið sem hjálpar þér náttúrulega að fara hraðar án þess að þú þurfir að gera eitthvað aukalega.
</t>
    </r>
    <r>
      <rPr>
        <rFont val="Arial"/>
        <b/>
        <sz val="11.0"/>
      </rPr>
      <t>Framhalli er það sem kemur síðast inn í hlaupastílinn. Við viljum fyrst vinna í hlutum 1-4 áður en við lögum framhallann.</t>
    </r>
  </si>
  <si>
    <t>Æfingasvæði</t>
  </si>
  <si>
    <t>Leiðbeiningar við útfyllingu á hlaupadagbókinni</t>
  </si>
  <si>
    <t>E, eða Easy. Átt að geta haldið uppi samræðum eins og þú værir að labba, annars ertu að fara of hratt. Það er ekki hægt að skokka of hægt!</t>
  </si>
  <si>
    <t>Millirólegt - Hraðar en rólega skokkið en samt þægilegt. Mjög mikilvægt að fara ekki of hratt hérna. Frekar örlítið hægar.</t>
  </si>
  <si>
    <t>Threshold.  Á þessum hraða áttu að geta sagt u.þ.b. eina setningu í hverjum andardrætti. Eins og ,,Mér líður vel"</t>
  </si>
  <si>
    <t>Hratt - Fartlek, Hratt en enginn sprettur</t>
  </si>
  <si>
    <t>Interval. Þú átt að þurfa fulla einbeitingu til að geta haldið hraðanum. Ekkert spjall hérna :)</t>
  </si>
  <si>
    <t>Reps - Stuttar hraðar endurtekningar</t>
  </si>
  <si>
    <t>Keppnir - 100% keyrsla</t>
  </si>
  <si>
    <t xml:space="preserve">Lestu æfingar vikunnar og auka fyrirmælin áður en þú ferð á æfingu - Til að setja inn komment hægri smellirðu á reitinn og ýtir á comment, eða ctrl+alt+m, eða ýtir á punktinn á reitinum ef þú ert í síma og ýtir á comment. - Settu komment í dagsreitinn. Hvernig gekk, hvað var gert, hvernig leið þér? Einhver meiðsli eða eymsli? </t>
  </si>
  <si>
    <t>7:00-9:00</t>
  </si>
  <si>
    <t>6:10-6:20</t>
  </si>
  <si>
    <t>5:15-5:23</t>
  </si>
  <si>
    <t>5:00-5:08</t>
  </si>
  <si>
    <t>4:49-4:58</t>
  </si>
  <si>
    <t>4:15-4:20</t>
  </si>
  <si>
    <t>Eftir æfingu setur þú heildarvegalengd í dagsreitinn.</t>
  </si>
  <si>
    <t>Æfingar vikunnar</t>
  </si>
  <si>
    <t>Auka fyrirmæli</t>
  </si>
  <si>
    <t>Mán</t>
  </si>
  <si>
    <t>Þri</t>
  </si>
  <si>
    <t>Mið</t>
  </si>
  <si>
    <t>Fim</t>
  </si>
  <si>
    <t>Fös</t>
  </si>
  <si>
    <t>Lau</t>
  </si>
  <si>
    <t>Sun</t>
  </si>
  <si>
    <t>Tímabil</t>
  </si>
  <si>
    <t>KM á viku</t>
  </si>
  <si>
    <t>Áhersla tímabilsins</t>
  </si>
  <si>
    <t>Möguleg hlaup</t>
  </si>
  <si>
    <t>-</t>
  </si>
  <si>
    <t>Aðalmarkmiðið þessa vikuna er að gera ekki of mikið. Leyfa orkunni frekar að fara í styrkinn og láta skokkið vera eins pressulaust og þægilegt og hægt er. Í æfingu 3 er þetta ekki sprettur, bara hlaup upp brekku, ekki láta erfiðeikann fara yfir 6 af 10. Höggin á líkamann eru aðalæfingin. Til að setja inn komment þá er það annaðhvort að hægri smella og ýta á comment eða ctrl+alt+m og þá opnast gluggi.</t>
  </si>
  <si>
    <t>Fyrirbygging</t>
  </si>
  <si>
    <t>1. 20' E + 6*20sek stílsprettir (1) + 5-10' E - Ef þessi er tekin á mánudegi fer hún í reiti sem eru eins á litinni. H8 og H9</t>
  </si>
  <si>
    <t>Teygjur og styrkur f.mjöðm</t>
  </si>
  <si>
    <t>Teygjur og styrkur</t>
  </si>
  <si>
    <t>göngutúr alla daga vikunnar</t>
  </si>
  <si>
    <t>styrkur+teygjur</t>
  </si>
  <si>
    <t xml:space="preserve">2. 35-40' E </t>
  </si>
  <si>
    <t>3. 10' E + 6-8*1' brekkuhlaup (2) + 5' E + styrktaræfingar</t>
  </si>
  <si>
    <t>Engin æfing á að vera eitthvað þvílíkt erfið heldur er stöðugleiki og styrkur aðalmálið núna, förum svo að bæta í magnið rólega í hverri viku.  Reyna að halda púls lágum, helst undir 130 í rólegu æfingunum. Gott að setja í komment hvaða púls þú ert að halda þegar þú ert í kringum 6:20-6:30.</t>
  </si>
  <si>
    <t>E - Hægar er betra</t>
  </si>
  <si>
    <t>Millirólegt - ekki of hratt hér</t>
  </si>
  <si>
    <t>Threshold - "mér líður vel"</t>
  </si>
  <si>
    <t>Hratt en ekki sprettur</t>
  </si>
  <si>
    <t>Interval - VO2Max</t>
  </si>
  <si>
    <t>Reps - stuttir sprettir</t>
  </si>
  <si>
    <t>Keppnir - keyrsla</t>
  </si>
  <si>
    <t>Grunnur</t>
  </si>
  <si>
    <t>1. 20' E + 8*30sek (1' skokk) + 10' E - í 30 sek þá er þetta 10 sek að auka hraðann, 10 sek að halda og 10 sek að hægja rólega á sér.</t>
  </si>
  <si>
    <t>2. 30-40' E + lyftingar</t>
  </si>
  <si>
    <t>x</t>
  </si>
  <si>
    <t>3. 20' E + 20' á 6:20-6:30 + 10-20' E</t>
  </si>
  <si>
    <t>Threshold</t>
  </si>
  <si>
    <t>Aðeins meira magn og bakkið og hliðarskrefin koma inn. Þetta á að vera helst upp brekku í bakkinu og hliðarksrefunum og mun alveg taka lúmskt í en er mikilvægt upp á vöðvajafnvægið. Það er í lagi að taka lyftingar og styrk á sér degi ef það hentar beutr.. Ef þú ert með mjög goðan tíma þá mega æfingar 1-3 verða 60 mín í heildina en ekki fara yfir klukkutímann á hlaupum alveg strax, mjög gott að ná einhverju rólegu sem labb í halla eða á hjóli og leitast eftir því að vera eins mikið á mjúku undirlagi og þú getur. Æfing 1 í lokin er svo fyrsta æfingin í næstu viku en það koma alltaf inn nýjar vikur á mánudögum.</t>
  </si>
  <si>
    <t>1. 20' E + 10-12*30sek (1' skokk) + 10' E - í 30 sek þá er þetta 10 sek að auka hraðann, 10 sek að halda og 10 sek að hægja rólega á sér.</t>
  </si>
  <si>
    <t>2. 10' E + 3*1' bakk (1) + 4*20sek stílsprettir (1) + 1*1' hliðarskref (1) + 5' E + lyftingar</t>
  </si>
  <si>
    <t>3. 10' E + 25' vaxandi og minnkandi + 10' E - vaxandi er að byrja á 7:00 og vinna sig upp í 5:30 á 10-15 mín og svo lækka hraðann rólega niður í 7:00 restina af tímanum.</t>
  </si>
  <si>
    <t>1. U + 8-10*30sek brekkusprettir (1) + N</t>
  </si>
  <si>
    <t>Heildarfjöldi KM</t>
  </si>
  <si>
    <t>Meðal km á viku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</si>
</sst>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m/d/yyyy h:mm:ss"/>
  </numFmts>
  <fonts count="22">
    <font>
      <sz val="10.0"/>
      <color rgb="FF000000"/>
      <name val="Arial"/>
    </font>
    <font>
      <name val="Arial"/>
    </font>
    <font>
      <b/>
      <sz val="12.0"/>
      <name val="Arial"/>
    </font>
    <font>
      <sz val="11.0"/>
      <name val="Arial"/>
    </font>
    <font>
      <b/>
      <sz val="15.0"/>
      <name val="Arial"/>
    </font>
    <font/>
    <font>
      <sz val="15.0"/>
      <name val="Arial"/>
    </font>
    <font>
      <sz val="10.0"/>
      <name val="Arial"/>
    </font>
    <font>
      <sz val="12.0"/>
      <name val="Arial"/>
    </font>
    <font>
      <sz val="13.0"/>
      <name val="Arial"/>
    </font>
    <font>
      <b/>
      <sz val="9.0"/>
      <name val="Arial"/>
    </font>
    <font>
      <b/>
      <name val="Arial"/>
    </font>
    <font>
      <b/>
      <u/>
      <sz val="9.0"/>
      <name val="Arial"/>
    </font>
    <font>
      <b/>
      <sz val="11.0"/>
      <name val="Arial"/>
    </font>
    <font>
      <sz val="14.0"/>
      <name val="Arial"/>
    </font>
    <font>
      <b/>
      <u/>
      <name val="Arial"/>
    </font>
    <font>
      <sz val="8.0"/>
      <name val="Arial"/>
    </font>
    <font>
      <b/>
      <u/>
      <name val="Arial"/>
    </font>
    <font>
      <b/>
      <u/>
      <name val="Arial"/>
    </font>
    <font>
      <b/>
      <u/>
      <name val="Arial"/>
    </font>
    <font>
      <b/>
      <u/>
      <name val="Arial"/>
    </font>
    <font>
      <b/>
      <u/>
      <name val="Arial"/>
    </font>
  </fonts>
  <fills count="16">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BDBDBD"/>
        <bgColor rgb="FFBDBDBD"/>
      </patternFill>
    </fill>
    <fill>
      <patternFill patternType="solid">
        <fgColor rgb="FFC0C0C0"/>
        <bgColor rgb="FFC0C0C0"/>
      </patternFill>
    </fill>
    <fill>
      <patternFill patternType="solid">
        <fgColor rgb="FFB4A7D6"/>
        <bgColor rgb="FFB4A7D6"/>
      </patternFill>
    </fill>
    <fill>
      <patternFill patternType="solid">
        <fgColor rgb="FFF3F3F3"/>
        <bgColor rgb="FFF3F3F3"/>
      </patternFill>
    </fill>
    <fill>
      <patternFill patternType="solid">
        <fgColor rgb="FFFF0000"/>
        <bgColor rgb="FFFF0000"/>
      </patternFill>
    </fill>
    <fill>
      <patternFill patternType="solid">
        <fgColor rgb="FF969696"/>
        <bgColor rgb="FF969696"/>
      </patternFill>
    </fill>
    <fill>
      <patternFill patternType="solid">
        <fgColor rgb="FFFF00FF"/>
        <bgColor rgb="FFFF00FF"/>
      </patternFill>
    </fill>
    <fill>
      <patternFill patternType="solid">
        <fgColor rgb="FFD9D9D9"/>
        <bgColor rgb="FFD9D9D9"/>
      </patternFill>
    </fill>
  </fills>
  <borders count="86">
    <border/>
    <border>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ck">
        <color rgb="FFFFFFFF"/>
      </left>
      <right style="thick">
        <color rgb="FFFFFFFF"/>
      </right>
      <top style="thick">
        <color rgb="FFFFFFFF"/>
      </top>
      <bottom style="thick">
        <color rgb="FFFFFFFF"/>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bottom style="thin">
        <color rgb="FFFFFFFF"/>
      </bottom>
    </border>
    <border>
      <left style="thick">
        <color rgb="FFFFFFFF"/>
      </left>
      <right style="thick">
        <color rgb="FFFFFFFF"/>
      </right>
      <bottom style="thick">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rder>
    <border>
      <left style="thin">
        <color rgb="FFFFFFFF"/>
      </left>
      <right style="thin">
        <color rgb="FFFFFFFF"/>
      </right>
    </border>
    <border>
      <left style="thick">
        <color rgb="FF000000"/>
      </left>
      <top style="thick">
        <color rgb="FF000000"/>
      </top>
    </border>
    <border>
      <top style="thick">
        <color rgb="FF000000"/>
      </top>
    </border>
    <border>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top style="thin">
        <color rgb="FFFF0000"/>
      </top>
    </border>
    <border>
      <right style="thin">
        <color rgb="FF000000"/>
      </right>
      <top style="thin">
        <color rgb="FFFF0000"/>
      </top>
    </border>
    <border>
      <right style="thin">
        <color rgb="FFFF0000"/>
      </right>
      <top style="thin">
        <color rgb="FFFF0000"/>
      </top>
    </border>
    <border>
      <left style="thin">
        <color rgb="FFFF0000"/>
      </left>
      <right style="thin">
        <color rgb="FF000000"/>
      </right>
      <top style="thin">
        <color rgb="FFFF0000"/>
      </top>
      <bottom style="thin">
        <color rgb="FF000000"/>
      </bottom>
    </border>
    <border>
      <left style="thin">
        <color rgb="FF000000"/>
      </left>
      <bottom style="thin">
        <color rgb="FFFFFFFF"/>
      </bottom>
    </border>
    <border>
      <right style="thick">
        <color rgb="FF000000"/>
      </right>
      <bottom style="thin">
        <color rgb="FFFFFFFF"/>
      </bottom>
    </border>
    <border>
      <left style="thick">
        <color rgb="FF000000"/>
      </left>
    </border>
    <border>
      <right style="thin">
        <color rgb="FF000000"/>
      </right>
    </border>
    <border>
      <right style="thin">
        <color rgb="FFFF0000"/>
      </right>
    </border>
    <border>
      <left style="thin">
        <color rgb="FFFF0000"/>
      </left>
      <right style="thin">
        <color rgb="FF000000"/>
      </right>
      <top style="thin">
        <color rgb="FF000000"/>
      </top>
    </border>
    <border>
      <left style="thin">
        <color rgb="FF000000"/>
      </left>
      <top style="thin">
        <color rgb="FF000000"/>
      </top>
      <bottom style="thin">
        <color rgb="FFFFFFFF"/>
      </bottom>
    </border>
    <border>
      <right style="thick">
        <color rgb="FF000000"/>
      </right>
      <top style="thin">
        <color rgb="FF000000"/>
      </top>
      <bottom style="thin">
        <color rgb="FFFFFFFF"/>
      </bottom>
    </border>
    <border>
      <right style="thin">
        <color rgb="FF000000"/>
      </right>
      <top style="thin">
        <color rgb="FF0000FF"/>
      </top>
      <bottom style="thin">
        <color rgb="FF000000"/>
      </bottom>
    </border>
    <border>
      <left style="thin">
        <color rgb="FF000000"/>
      </left>
      <right style="thin">
        <color rgb="FF000000"/>
      </right>
      <top style="thin">
        <color rgb="FF9900FF"/>
      </top>
      <bottom style="thin">
        <color rgb="FF000000"/>
      </bottom>
    </border>
    <border>
      <top style="thin">
        <color rgb="FF0000FF"/>
      </top>
    </border>
    <border>
      <right style="thin">
        <color rgb="FF000000"/>
      </right>
      <top style="thin">
        <color rgb="FF0000FF"/>
      </top>
    </border>
    <border>
      <right style="thin">
        <color rgb="FF0000FF"/>
      </right>
      <top style="thin">
        <color rgb="FF0000FF"/>
      </top>
    </border>
    <border>
      <right style="thin">
        <color rgb="FF000000"/>
      </right>
      <top style="thin">
        <color rgb="FF000000"/>
      </top>
    </border>
    <border>
      <right style="thin">
        <color rgb="FF0000FF"/>
      </right>
    </border>
    <border>
      <right style="thin">
        <color rgb="FF000000"/>
      </right>
      <top style="thin">
        <color rgb="FF9900FF"/>
      </top>
      <bottom style="thin">
        <color rgb="FF000000"/>
      </bottom>
    </border>
    <border>
      <left style="thin">
        <color rgb="FF000000"/>
      </left>
      <right style="thin">
        <color rgb="FF000000"/>
      </right>
      <top style="thin">
        <color rgb="FF0000FF"/>
      </top>
      <bottom style="thin">
        <color rgb="FF000000"/>
      </bottom>
    </border>
    <border>
      <top style="thin">
        <color rgb="FF9900FF"/>
      </top>
    </border>
    <border>
      <right style="thin">
        <color rgb="FF000000"/>
      </right>
      <top style="thin">
        <color rgb="FF9900FF"/>
      </top>
    </border>
    <border>
      <left style="thick">
        <color rgb="FFFFFFFF"/>
      </left>
      <top style="thin">
        <color rgb="FF000000"/>
      </top>
    </border>
    <border>
      <right style="thin">
        <color rgb="FF9900FF"/>
      </right>
      <top style="thin">
        <color rgb="FF9900FF"/>
      </top>
    </border>
    <border>
      <bottom style="thin">
        <color rgb="FFFF0000"/>
      </bottom>
    </border>
    <border>
      <right style="thin">
        <color rgb="FFFF0000"/>
      </right>
      <bottom style="thin">
        <color rgb="FFFF0000"/>
      </bottom>
    </border>
    <border>
      <right style="thin">
        <color rgb="FF000000"/>
      </right>
      <top style="thin">
        <color rgb="FF000000"/>
      </top>
      <bottom style="thin">
        <color rgb="FF9900FF"/>
      </bottom>
    </border>
    <border>
      <left style="thin">
        <color rgb="FF000000"/>
      </left>
      <right style="thin">
        <color rgb="FF000000"/>
      </right>
      <top style="thin">
        <color rgb="FF000000"/>
      </top>
      <bottom style="thin">
        <color rgb="FF9900FF"/>
      </bottom>
    </border>
    <border>
      <left style="thick">
        <color rgb="FFFFFFFF"/>
      </left>
      <right style="thin">
        <color rgb="FFFFFFFF"/>
      </right>
      <top style="thin">
        <color rgb="FFFFFFFF"/>
      </top>
      <bottom style="thin">
        <color rgb="FFFFFFFF"/>
      </bottom>
    </border>
    <border>
      <bottom style="thin">
        <color rgb="FF9900FF"/>
      </bottom>
    </border>
    <border>
      <right style="thin">
        <color rgb="FF000000"/>
      </right>
      <bottom style="thin">
        <color rgb="FF9900FF"/>
      </bottom>
    </border>
    <border>
      <right style="thin">
        <color rgb="FF9900FF"/>
      </right>
      <bottom style="thin">
        <color rgb="FF9900FF"/>
      </bottom>
    </border>
    <border>
      <left style="thick">
        <color rgb="FF000000"/>
      </lef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bottom style="thin">
        <color rgb="FF000000"/>
      </bottom>
    </border>
    <border>
      <left style="thin">
        <color rgb="FF000000"/>
      </left>
    </border>
    <border>
      <left style="thin">
        <color rgb="FF000000"/>
      </left>
      <bottom style="thin">
        <color rgb="FF000000"/>
      </bottom>
    </border>
    <border>
      <bottom style="thin">
        <color rgb="FF0000FF"/>
      </bottom>
    </border>
    <border>
      <right style="thin">
        <color rgb="FF0000FF"/>
      </right>
      <bottom style="thin">
        <color rgb="FF0000FF"/>
      </bottom>
    </border>
    <border>
      <right style="thin">
        <color rgb="FF9900FF"/>
      </right>
    </border>
    <border>
      <left style="thick">
        <color rgb="FF000000"/>
      </left>
      <bottom style="thick">
        <color rgb="FF000000"/>
      </bottom>
    </border>
    <border>
      <bottom style="thick">
        <color rgb="FF000000"/>
      </bottom>
    </border>
    <border>
      <right style="thin">
        <color rgb="FF000000"/>
      </right>
      <bottom style="thick">
        <color rgb="FF000000"/>
      </bottom>
    </border>
    <border>
      <right style="thin">
        <color rgb="FF9900FF"/>
      </right>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left style="thin">
        <color rgb="FF000000"/>
      </left>
      <bottom style="thick">
        <color rgb="FF000000"/>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wrapText="1"/>
    </xf>
    <xf borderId="0" fillId="2" fontId="2" numFmtId="0" xfId="0" applyAlignment="1" applyFill="1" applyFont="1">
      <alignment horizontal="center"/>
    </xf>
    <xf borderId="0" fillId="0" fontId="1" numFmtId="0" xfId="0" applyAlignment="1" applyFont="1">
      <alignment readingOrder="0" vertical="bottom"/>
    </xf>
    <xf borderId="0" fillId="0" fontId="3" numFmtId="0" xfId="0" applyAlignment="1" applyFont="1">
      <alignment horizontal="left" readingOrder="0" shrinkToFit="0" vertical="center" wrapText="1"/>
    </xf>
    <xf borderId="0" fillId="0" fontId="1" numFmtId="0" xfId="0" applyAlignment="1" applyFont="1">
      <alignment vertical="center"/>
    </xf>
    <xf borderId="0" fillId="0" fontId="3" numFmtId="0" xfId="0" applyAlignment="1" applyFont="1">
      <alignment readingOrder="0" shrinkToFit="0" vertical="center" wrapText="1"/>
    </xf>
    <xf borderId="0" fillId="3" fontId="4" numFmtId="0" xfId="0" applyAlignment="1" applyFill="1" applyFont="1">
      <alignment horizontal="center" readingOrder="0" vertical="center"/>
    </xf>
    <xf borderId="1" fillId="3" fontId="4" numFmtId="0" xfId="0" applyAlignment="1" applyBorder="1" applyFill="1" applyFont="1">
      <alignment horizontal="center" readingOrder="0" vertical="center"/>
    </xf>
    <xf borderId="1" fillId="0" fontId="5" numFmtId="0" xfId="0" applyBorder="1" applyFont="1"/>
    <xf borderId="0" fillId="0" fontId="3" numFmtId="0" xfId="0" applyAlignment="1" applyFont="1">
      <alignment readingOrder="0" shrinkToFit="0" vertical="bottom" wrapText="1"/>
    </xf>
    <xf borderId="0" fillId="0" fontId="1" numFmtId="0" xfId="0" applyFont="1"/>
    <xf borderId="2" fillId="2" fontId="6" numFmtId="0" xfId="0" applyAlignment="1" applyBorder="1" applyFill="1" applyFont="1">
      <alignment horizontal="center" readingOrder="0" vertical="center"/>
    </xf>
    <xf borderId="3" fillId="0" fontId="5" numFmtId="0" xfId="0" applyBorder="1" applyFont="1"/>
    <xf borderId="4" fillId="0" fontId="5" numFmtId="0" xfId="0" applyBorder="1" applyFont="1"/>
    <xf borderId="5" fillId="0" fontId="1" numFmtId="0" xfId="0" applyBorder="1" applyFont="1"/>
    <xf borderId="6" fillId="2" fontId="6" numFmtId="0" xfId="0" applyAlignment="1" applyBorder="1" applyFill="1" applyFont="1">
      <alignment horizontal="center" readingOrder="0" vertical="center"/>
    </xf>
    <xf borderId="7" fillId="0" fontId="5" numFmtId="0" xfId="0" applyBorder="1" applyFont="1"/>
    <xf borderId="8" fillId="0" fontId="5" numFmtId="0" xfId="0" applyBorder="1" applyFont="1"/>
    <xf borderId="9" fillId="0" fontId="1" numFmtId="0" xfId="0" applyBorder="1" applyFont="1"/>
    <xf borderId="10" fillId="0" fontId="1" numFmtId="0" xfId="0" applyBorder="1" applyFont="1"/>
    <xf borderId="11" fillId="0" fontId="1" numFmtId="0" xfId="0" applyBorder="1" applyFont="1"/>
    <xf borderId="12" fillId="4" fontId="1" numFmtId="0" xfId="0" applyAlignment="1" applyBorder="1" applyFill="1" applyFont="1">
      <alignment horizontal="center" readingOrder="0" shrinkToFit="0" vertical="center" wrapText="1"/>
    </xf>
    <xf borderId="13" fillId="0" fontId="5" numFmtId="0" xfId="0" applyBorder="1" applyFont="1"/>
    <xf borderId="12" fillId="4" fontId="7" numFmtId="0" xfId="0" applyAlignment="1" applyBorder="1" applyFill="1" applyFont="1">
      <alignment horizontal="center" readingOrder="0" shrinkToFit="0" vertical="center" wrapText="1"/>
    </xf>
    <xf borderId="14" fillId="5" fontId="7" numFmtId="0" xfId="0" applyAlignment="1" applyBorder="1" applyFill="1" applyFont="1">
      <alignment horizontal="center" readingOrder="0" shrinkToFit="0" vertical="center" wrapText="1"/>
    </xf>
    <xf borderId="12" fillId="5" fontId="7" numFmtId="0" xfId="0" applyAlignment="1" applyBorder="1" applyFill="1" applyFont="1">
      <alignment horizontal="center" readingOrder="0" shrinkToFit="0" vertical="center" wrapText="1"/>
    </xf>
    <xf borderId="12" fillId="6" fontId="7" numFmtId="0" xfId="0" applyAlignment="1" applyBorder="1" applyFill="1" applyFont="1">
      <alignment horizontal="center" readingOrder="0" shrinkToFit="0" vertical="center" wrapText="1"/>
    </xf>
    <xf borderId="15" fillId="0" fontId="5" numFmtId="0" xfId="0" applyBorder="1" applyFont="1"/>
    <xf borderId="14" fillId="7" fontId="7" numFmtId="0" xfId="0" applyAlignment="1" applyBorder="1" applyFill="1" applyFont="1">
      <alignment horizontal="center" readingOrder="0" shrinkToFit="0" vertical="center" wrapText="1"/>
    </xf>
    <xf borderId="16" fillId="0" fontId="1" numFmtId="0" xfId="0" applyBorder="1" applyFont="1"/>
    <xf borderId="17" fillId="0" fontId="4" numFmtId="0" xfId="0" applyAlignment="1" applyBorder="1" applyFont="1">
      <alignment horizontal="center" readingOrder="0" vertical="center"/>
    </xf>
    <xf borderId="6" fillId="0" fontId="7" numFmtId="0" xfId="0" applyAlignment="1" applyBorder="1" applyFont="1">
      <alignment readingOrder="0" shrinkToFit="0" vertical="center" wrapText="1"/>
    </xf>
    <xf borderId="12" fillId="4" fontId="8" numFmtId="0" xfId="0" applyAlignment="1" applyBorder="1" applyFill="1" applyFont="1">
      <alignment horizontal="center" readingOrder="0" vertical="center"/>
    </xf>
    <xf borderId="14" fillId="5" fontId="8" numFmtId="0" xfId="0" applyAlignment="1" applyBorder="1" applyFill="1" applyFont="1">
      <alignment horizontal="center" readingOrder="0" vertical="center"/>
    </xf>
    <xf borderId="12" fillId="5" fontId="8" numFmtId="0" xfId="0" applyAlignment="1" applyBorder="1" applyFill="1" applyFont="1">
      <alignment horizontal="center" readingOrder="0" vertical="center"/>
    </xf>
    <xf borderId="12" fillId="6" fontId="8" numFmtId="0" xfId="0" applyAlignment="1" applyBorder="1" applyFill="1" applyFont="1">
      <alignment horizontal="center" readingOrder="0" vertical="center"/>
    </xf>
    <xf borderId="14" fillId="7" fontId="9" numFmtId="0" xfId="0" applyAlignment="1" applyBorder="1" applyFill="1" applyFont="1">
      <alignment horizontal="center" readingOrder="0" shrinkToFit="0" vertical="center" wrapText="1"/>
    </xf>
    <xf borderId="18" fillId="3" fontId="1" numFmtId="0" xfId="0" applyAlignment="1" applyBorder="1" applyFill="1" applyFont="1">
      <alignment horizontal="center" readingOrder="0" shrinkToFit="0" vertical="bottom" wrapText="1"/>
    </xf>
    <xf borderId="18" fillId="3" fontId="1" numFmtId="0" xfId="0" applyBorder="1" applyFill="1" applyFont="1"/>
    <xf borderId="19" fillId="3" fontId="9" numFmtId="0" xfId="0" applyAlignment="1" applyBorder="1" applyFill="1" applyFont="1">
      <alignment horizontal="left" shrinkToFit="0" vertical="center" wrapText="1"/>
    </xf>
    <xf borderId="20" fillId="0" fontId="5" numFmtId="0" xfId="0" applyBorder="1" applyFont="1"/>
    <xf borderId="18" fillId="3" fontId="8" numFmtId="0" xfId="0" applyAlignment="1" applyBorder="1" applyFill="1" applyFont="1">
      <alignment horizontal="left" vertical="center"/>
    </xf>
    <xf borderId="19" fillId="3" fontId="8" numFmtId="0" xfId="0" applyAlignment="1" applyBorder="1" applyFill="1" applyFont="1">
      <alignment horizontal="left" readingOrder="0" vertical="center"/>
    </xf>
    <xf borderId="5" fillId="3" fontId="1" numFmtId="0" xfId="0" applyBorder="1" applyFill="1" applyFont="1"/>
    <xf borderId="18" fillId="0" fontId="1" numFmtId="0" xfId="0" applyBorder="1" applyFont="1"/>
    <xf borderId="19" fillId="0" fontId="1" numFmtId="0" xfId="0" applyBorder="1" applyFont="1"/>
    <xf borderId="20" fillId="0" fontId="1" numFmtId="0" xfId="0" applyBorder="1" applyFont="1"/>
    <xf borderId="21" fillId="0" fontId="1" numFmtId="0" xfId="0" applyBorder="1" applyFont="1"/>
    <xf borderId="22" fillId="3" fontId="4" numFmtId="0" xfId="0" applyAlignment="1" applyBorder="1" applyFill="1" applyFont="1">
      <alignment horizontal="center" readingOrder="0" vertical="center"/>
    </xf>
    <xf borderId="23" fillId="0" fontId="5" numFmtId="0" xfId="0" applyBorder="1" applyFont="1"/>
    <xf borderId="24" fillId="0" fontId="5" numFmtId="0" xfId="0" applyBorder="1" applyFont="1"/>
    <xf borderId="25" fillId="3" fontId="10" numFmtId="0" xfId="0" applyAlignment="1" applyBorder="1" applyFill="1" applyFont="1">
      <alignment horizontal="center" readingOrder="0" vertical="center"/>
    </xf>
    <xf borderId="26" fillId="0" fontId="11" numFmtId="0" xfId="0" applyAlignment="1" applyBorder="1" applyFont="1">
      <alignment horizontal="center" readingOrder="0" vertical="center"/>
    </xf>
    <xf borderId="26" fillId="0" fontId="1" numFmtId="0" xfId="0" applyBorder="1" applyFont="1"/>
    <xf borderId="27" fillId="8" fontId="4" numFmtId="0" xfId="0" applyAlignment="1" applyBorder="1" applyFill="1" applyFont="1">
      <alignment horizontal="center" shrinkToFit="0" vertical="bottom" wrapText="1"/>
    </xf>
    <xf borderId="28" fillId="8" fontId="5" numFmtId="0" xfId="0" applyBorder="1" applyFill="1" applyFont="1"/>
    <xf borderId="29" fillId="8" fontId="5" numFmtId="0" xfId="0" applyBorder="1" applyFill="1" applyFont="1"/>
    <xf borderId="28" fillId="8" fontId="4" numFmtId="0" xfId="0" applyAlignment="1" applyBorder="1" applyFill="1" applyFont="1">
      <alignment horizontal="center" shrinkToFit="0" vertical="bottom" wrapText="1"/>
    </xf>
    <xf borderId="30" fillId="8" fontId="2" numFmtId="0" xfId="0" applyAlignment="1" applyBorder="1" applyFill="1" applyFont="1">
      <alignment horizontal="center" shrinkToFit="0" vertical="center" wrapText="1"/>
    </xf>
    <xf borderId="29" fillId="8" fontId="2" numFmtId="0" xfId="0" applyAlignment="1" applyBorder="1" applyFill="1" applyFont="1">
      <alignment horizontal="center" shrinkToFit="0" vertical="center" wrapText="1"/>
    </xf>
    <xf borderId="31" fillId="8" fontId="2" numFmtId="0" xfId="0" applyAlignment="1" applyBorder="1" applyFill="1" applyFont="1">
      <alignment horizontal="center" shrinkToFit="0" vertical="center" wrapText="1"/>
    </xf>
    <xf borderId="29" fillId="8" fontId="12" numFmtId="0" xfId="0" applyAlignment="1" applyBorder="1" applyFill="1" applyFont="1">
      <alignment horizontal="center" readingOrder="0" shrinkToFit="0" vertical="center" wrapText="1"/>
    </xf>
    <xf borderId="32" fillId="8" fontId="13" numFmtId="0" xfId="0" applyAlignment="1" applyBorder="1" applyFill="1" applyFont="1">
      <alignment horizontal="center" readingOrder="0" shrinkToFit="0" vertical="center" wrapText="1"/>
    </xf>
    <xf borderId="33" fillId="8" fontId="5" numFmtId="0" xfId="0" applyBorder="1" applyFill="1" applyFont="1"/>
    <xf borderId="9" fillId="3" fontId="1" numFmtId="0" xfId="0" applyBorder="1" applyFill="1" applyFont="1"/>
    <xf borderId="10" fillId="3" fontId="1" numFmtId="0" xfId="0" applyBorder="1" applyFill="1" applyFont="1"/>
    <xf borderId="34" fillId="9" fontId="11" numFmtId="164" xfId="0" applyAlignment="1" applyBorder="1" applyFill="1" applyFont="1" applyNumberFormat="1">
      <alignment horizontal="center" readingOrder="0" shrinkToFit="0" vertical="bottom" wrapText="1"/>
    </xf>
    <xf borderId="34" fillId="9" fontId="1" numFmtId="165" xfId="0" applyAlignment="1" applyBorder="1" applyFill="1" applyFont="1" applyNumberFormat="1">
      <alignment horizontal="center" shrinkToFit="0" vertical="bottom" wrapText="1"/>
    </xf>
    <xf borderId="35" fillId="9" fontId="11" numFmtId="164" xfId="0" applyAlignment="1" applyBorder="1" applyFill="1" applyFont="1" applyNumberFormat="1">
      <alignment horizontal="center" shrinkToFit="0" vertical="bottom" wrapText="1"/>
    </xf>
    <xf borderId="34" fillId="3" fontId="1" numFmtId="0" xfId="0" applyAlignment="1" applyBorder="1" applyFill="1" applyFont="1">
      <alignment horizontal="center" readingOrder="0" shrinkToFit="0" vertical="bottom" wrapText="1"/>
    </xf>
    <xf borderId="34" fillId="3" fontId="5" numFmtId="0" xfId="0" applyBorder="1" applyFill="1" applyFont="1"/>
    <xf borderId="36" fillId="3" fontId="5" numFmtId="0" xfId="0" applyBorder="1" applyFill="1" applyFont="1"/>
    <xf borderId="37" fillId="10" fontId="14" numFmtId="0" xfId="0" applyAlignment="1" applyBorder="1" applyFill="1" applyFont="1">
      <alignment horizontal="center" readingOrder="0" shrinkToFit="0" vertical="center" wrapText="1"/>
    </xf>
    <xf borderId="37" fillId="3" fontId="14" numFmtId="0" xfId="0" applyAlignment="1" applyBorder="1" applyFill="1" applyFont="1">
      <alignment horizontal="center" readingOrder="0" shrinkToFit="0" vertical="center" wrapText="1"/>
    </xf>
    <xf borderId="36" fillId="0" fontId="15" numFmtId="0" xfId="0" applyAlignment="1" applyBorder="1" applyFont="1">
      <alignment horizontal="center" shrinkToFit="0" vertical="bottom" wrapText="1"/>
    </xf>
    <xf borderId="1" fillId="4" fontId="4" numFmtId="0" xfId="0" applyAlignment="1" applyBorder="1" applyFill="1" applyFont="1">
      <alignment horizontal="center" readingOrder="0" shrinkToFit="0" textRotation="135" vertical="center" wrapText="1"/>
    </xf>
    <xf borderId="38" fillId="3" fontId="3" numFmtId="0" xfId="0" applyAlignment="1" applyBorder="1" applyFill="1" applyFont="1">
      <alignment horizontal="center" readingOrder="0" shrinkToFit="0" textRotation="0" vertical="center" wrapText="1"/>
    </xf>
    <xf borderId="39" fillId="0" fontId="5" numFmtId="0" xfId="0" applyBorder="1" applyFont="1"/>
    <xf borderId="40" fillId="10" fontId="1" numFmtId="0" xfId="0" applyAlignment="1" applyBorder="1" applyFill="1" applyFont="1">
      <alignment readingOrder="0" shrinkToFit="0" vertical="bottom" wrapText="1"/>
    </xf>
    <xf borderId="41" fillId="11" fontId="5" numFmtId="0" xfId="0" applyBorder="1" applyFill="1" applyFont="1"/>
    <xf borderId="42" fillId="11" fontId="5" numFmtId="0" xfId="0" applyBorder="1" applyFill="1" applyFont="1"/>
    <xf borderId="43" fillId="10" fontId="16" numFmtId="0" xfId="0" applyAlignment="1" applyBorder="1" applyFill="1" applyFont="1">
      <alignment horizontal="center" readingOrder="0" shrinkToFit="0" vertical="center" wrapText="1"/>
    </xf>
    <xf borderId="37" fillId="10" fontId="7" numFmtId="0" xfId="0" applyAlignment="1" applyBorder="1" applyFill="1" applyFont="1">
      <alignment horizontal="center" readingOrder="0" shrinkToFit="0" vertical="center" wrapText="1"/>
    </xf>
    <xf borderId="37" fillId="10" fontId="3" numFmtId="0" xfId="0" applyAlignment="1" applyBorder="1" applyFill="1" applyFont="1">
      <alignment horizontal="center" readingOrder="0" shrinkToFit="0" vertical="center" wrapText="1"/>
    </xf>
    <xf borderId="0" fillId="9" fontId="1" numFmtId="165" xfId="0" applyAlignment="1" applyFill="1" applyFont="1" applyNumberFormat="1">
      <alignment shrinkToFit="0" vertical="bottom" wrapText="1"/>
    </xf>
    <xf borderId="41" fillId="9" fontId="1" numFmtId="165" xfId="0" applyAlignment="1" applyBorder="1" applyFill="1" applyFont="1" applyNumberFormat="1">
      <alignment shrinkToFit="0" vertical="bottom" wrapText="1"/>
    </xf>
    <xf borderId="42" fillId="0" fontId="1" numFmtId="0" xfId="0" applyAlignment="1" applyBorder="1" applyFont="1">
      <alignment readingOrder="0" shrinkToFit="0" vertical="bottom" wrapText="1"/>
    </xf>
    <xf borderId="44" fillId="3" fontId="3" numFmtId="0" xfId="0" applyAlignment="1" applyBorder="1" applyFill="1" applyFont="1">
      <alignment horizontal="center" readingOrder="0" shrinkToFit="0" textRotation="0" vertical="center" wrapText="1"/>
    </xf>
    <xf borderId="45" fillId="0" fontId="5" numFmtId="0" xfId="0" applyBorder="1" applyFont="1"/>
    <xf borderId="40" fillId="3" fontId="1" numFmtId="0" xfId="0" applyAlignment="1" applyBorder="1" applyFill="1" applyFont="1">
      <alignment readingOrder="0" shrinkToFit="0" vertical="bottom" wrapText="1"/>
    </xf>
    <xf borderId="41" fillId="3" fontId="5" numFmtId="0" xfId="0" applyBorder="1" applyFill="1" applyFont="1"/>
    <xf borderId="42" fillId="3" fontId="5" numFmtId="0" xfId="0" applyBorder="1" applyFill="1" applyFont="1"/>
    <xf borderId="46" fillId="4" fontId="14" numFmtId="0" xfId="0" applyAlignment="1" applyBorder="1" applyFill="1" applyFont="1">
      <alignment horizontal="center" readingOrder="0" shrinkToFit="0" vertical="center" wrapText="1"/>
    </xf>
    <xf borderId="47" fillId="3" fontId="14" numFmtId="0" xfId="0" applyAlignment="1" applyBorder="1" applyFill="1" applyFont="1">
      <alignment horizontal="center" readingOrder="0" shrinkToFit="0" vertical="center" wrapText="1"/>
    </xf>
    <xf borderId="46" fillId="3" fontId="14" numFmtId="0" xfId="0" applyAlignment="1" applyBorder="1" applyFill="1" applyFont="1">
      <alignment horizontal="center" readingOrder="0" shrinkToFit="0" vertical="center" wrapText="1"/>
    </xf>
    <xf borderId="46" fillId="12" fontId="14" numFmtId="0" xfId="0" applyAlignment="1" applyBorder="1" applyFill="1" applyFont="1">
      <alignment horizontal="center" readingOrder="0" shrinkToFit="0" vertical="center" wrapText="1"/>
    </xf>
    <xf borderId="48" fillId="13" fontId="11" numFmtId="164" xfId="0" applyAlignment="1" applyBorder="1" applyFill="1" applyFont="1" applyNumberFormat="1">
      <alignment horizontal="center" shrinkToFit="0" vertical="bottom" wrapText="1"/>
    </xf>
    <xf borderId="48" fillId="13" fontId="1" numFmtId="165" xfId="0" applyAlignment="1" applyBorder="1" applyFill="1" applyFont="1" applyNumberFormat="1">
      <alignment horizontal="center" shrinkToFit="0" vertical="bottom" wrapText="1"/>
    </xf>
    <xf borderId="49" fillId="13" fontId="11" numFmtId="164" xfId="0" applyAlignment="1" applyBorder="1" applyFill="1" applyFont="1" applyNumberFormat="1">
      <alignment horizontal="center" shrinkToFit="0" vertical="bottom" wrapText="1"/>
    </xf>
    <xf borderId="50" fillId="3" fontId="17" numFmtId="0" xfId="0" applyAlignment="1" applyBorder="1" applyFill="1" applyFont="1">
      <alignment horizontal="center" shrinkToFit="0" vertical="bottom" wrapText="1"/>
    </xf>
    <xf borderId="51" fillId="12" fontId="14" numFmtId="0" xfId="0" applyAlignment="1" applyBorder="1" applyFill="1" applyFont="1">
      <alignment horizontal="center" readingOrder="0" shrinkToFit="0" vertical="center" wrapText="1"/>
    </xf>
    <xf borderId="0" fillId="13" fontId="1" numFmtId="165" xfId="0" applyAlignment="1" applyFill="1" applyFont="1" applyNumberFormat="1">
      <alignment shrinkToFit="0" vertical="bottom" wrapText="1"/>
    </xf>
    <xf borderId="41" fillId="13" fontId="1" numFmtId="165" xfId="0" applyAlignment="1" applyBorder="1" applyFill="1" applyFont="1" applyNumberFormat="1">
      <alignment shrinkToFit="0" vertical="bottom" wrapText="1"/>
    </xf>
    <xf borderId="52" fillId="3" fontId="1" numFmtId="0" xfId="0" applyAlignment="1" applyBorder="1" applyFill="1" applyFont="1">
      <alignment shrinkToFit="0" vertical="bottom" wrapText="1"/>
    </xf>
    <xf borderId="53" fillId="14" fontId="14" numFmtId="0" xfId="0" applyAlignment="1" applyBorder="1" applyFill="1" applyFont="1">
      <alignment horizontal="center" readingOrder="0" shrinkToFit="0" vertical="center" wrapText="1"/>
    </xf>
    <xf borderId="54" fillId="3" fontId="14" numFmtId="0" xfId="0" applyAlignment="1" applyBorder="1" applyFill="1" applyFont="1">
      <alignment horizontal="center" readingOrder="0" shrinkToFit="0" vertical="center" wrapText="1"/>
    </xf>
    <xf borderId="55" fillId="9" fontId="11" numFmtId="164" xfId="0" applyAlignment="1" applyBorder="1" applyFill="1" applyFont="1" applyNumberFormat="1">
      <alignment horizontal="center" shrinkToFit="0" vertical="bottom" wrapText="1"/>
    </xf>
    <xf borderId="55" fillId="9" fontId="1" numFmtId="165" xfId="0" applyAlignment="1" applyBorder="1" applyFill="1" applyFont="1" applyNumberFormat="1">
      <alignment horizontal="center" shrinkToFit="0" vertical="bottom" wrapText="1"/>
    </xf>
    <xf borderId="56" fillId="9" fontId="11" numFmtId="164" xfId="0" applyAlignment="1" applyBorder="1" applyFill="1" applyFont="1" applyNumberFormat="1">
      <alignment horizontal="center" shrinkToFit="0" vertical="bottom" wrapText="1"/>
    </xf>
    <xf borderId="58" fillId="3" fontId="18" numFmtId="0" xfId="0" applyAlignment="1" applyBorder="1" applyFill="1" applyFont="1">
      <alignment horizontal="center" shrinkToFit="0" vertical="bottom" wrapText="1"/>
    </xf>
    <xf borderId="57" fillId="3" fontId="4" numFmtId="0" xfId="0" applyAlignment="1" applyBorder="1" applyFill="1" applyFont="1">
      <alignment horizontal="center" readingOrder="0" vertical="center"/>
    </xf>
    <xf borderId="59" fillId="11" fontId="5" numFmtId="0" xfId="0" applyBorder="1" applyFill="1" applyFont="1"/>
    <xf borderId="60" fillId="11" fontId="5" numFmtId="0" xfId="0" applyBorder="1" applyFill="1" applyFont="1"/>
    <xf borderId="61" fillId="14" fontId="14" numFmtId="0" xfId="0" applyAlignment="1" applyBorder="1" applyFill="1" applyFont="1">
      <alignment horizontal="center" readingOrder="0" shrinkToFit="0" vertical="center" wrapText="1"/>
    </xf>
    <xf borderId="62" fillId="3" fontId="14" numFmtId="0" xfId="0" applyAlignment="1" applyBorder="1" applyFill="1" applyFont="1">
      <alignment horizontal="center" readingOrder="0" shrinkToFit="0" vertical="center" wrapText="1"/>
    </xf>
    <xf borderId="63" fillId="0" fontId="1" numFmtId="0" xfId="0" applyBorder="1" applyFont="1"/>
    <xf borderId="62" fillId="3" fontId="14" numFmtId="0" xfId="0" applyAlignment="1" applyBorder="1" applyFill="1" applyFont="1">
      <alignment horizontal="center" shrinkToFit="0" vertical="center" wrapText="1"/>
    </xf>
    <xf borderId="11" fillId="0" fontId="1" numFmtId="0" xfId="0" applyAlignment="1" applyBorder="1" applyFont="1">
      <alignment vertical="bottom"/>
    </xf>
    <xf borderId="64" fillId="9" fontId="1" numFmtId="165" xfId="0" applyAlignment="1" applyBorder="1" applyFill="1" applyFont="1" applyNumberFormat="1">
      <alignment shrinkToFit="0" vertical="bottom" wrapText="1"/>
    </xf>
    <xf borderId="63" fillId="0" fontId="1" numFmtId="0" xfId="0" applyAlignment="1" applyBorder="1" applyFont="1">
      <alignment vertical="bottom"/>
    </xf>
    <xf borderId="65" fillId="9" fontId="1" numFmtId="165" xfId="0" applyAlignment="1" applyBorder="1" applyFill="1" applyFont="1" applyNumberFormat="1">
      <alignment shrinkToFit="0" vertical="bottom" wrapText="1"/>
    </xf>
    <xf borderId="66" fillId="3" fontId="1" numFmtId="0" xfId="0" applyAlignment="1" applyBorder="1" applyFill="1" applyFont="1">
      <alignment shrinkToFit="0" vertical="bottom" wrapText="1"/>
    </xf>
    <xf borderId="10" fillId="0" fontId="1" numFmtId="0" xfId="0" applyAlignment="1" applyBorder="1" applyFont="1">
      <alignment vertical="bottom"/>
    </xf>
    <xf borderId="12" fillId="2" fontId="6" numFmtId="0" xfId="0" applyAlignment="1" applyBorder="1" applyFill="1" applyFont="1">
      <alignment horizontal="center" readingOrder="0" vertical="center"/>
    </xf>
    <xf borderId="67" fillId="15" fontId="11" numFmtId="164" xfId="0" applyAlignment="1" applyBorder="1" applyFill="1" applyFont="1" applyNumberFormat="1">
      <alignment horizontal="center" shrinkToFit="0" vertical="bottom" wrapText="1"/>
    </xf>
    <xf borderId="1" fillId="15" fontId="1" numFmtId="165" xfId="0" applyAlignment="1" applyBorder="1" applyFill="1" applyFont="1" applyNumberFormat="1">
      <alignment horizontal="center" shrinkToFit="0" vertical="bottom" wrapText="1"/>
    </xf>
    <xf borderId="51" fillId="15" fontId="11" numFmtId="164" xfId="0" applyAlignment="1" applyBorder="1" applyFill="1" applyFont="1" applyNumberFormat="1">
      <alignment horizontal="center" shrinkToFit="0" vertical="bottom" wrapText="1"/>
    </xf>
    <xf borderId="0" fillId="3" fontId="1" numFmtId="0" xfId="0" applyAlignment="1" applyFill="1" applyFont="1">
      <alignment horizontal="center" readingOrder="0" shrinkToFit="0" vertical="bottom" wrapText="1"/>
    </xf>
    <xf borderId="52" fillId="3" fontId="5" numFmtId="0" xfId="0" applyBorder="1" applyFill="1" applyFont="1"/>
    <xf borderId="68" fillId="3" fontId="14" numFmtId="0" xfId="0" applyAlignment="1" applyBorder="1" applyFill="1" applyFont="1">
      <alignment horizontal="center" readingOrder="0" shrinkToFit="0" vertical="center" wrapText="1"/>
    </xf>
    <xf borderId="69" fillId="3" fontId="14" numFmtId="0" xfId="0" applyAlignment="1" applyBorder="1" applyFill="1" applyFont="1">
      <alignment horizontal="center" readingOrder="0" shrinkToFit="0" vertical="center" wrapText="1"/>
    </xf>
    <xf borderId="67" fillId="9" fontId="11" numFmtId="164" xfId="0" applyAlignment="1" applyBorder="1" applyFill="1" applyFont="1" applyNumberFormat="1">
      <alignment horizontal="center" readingOrder="0" shrinkToFit="0" vertical="bottom" wrapText="1"/>
    </xf>
    <xf borderId="1" fillId="9" fontId="1" numFmtId="165" xfId="0" applyAlignment="1" applyBorder="1" applyFill="1" applyFont="1" applyNumberFormat="1">
      <alignment horizontal="center" shrinkToFit="0" vertical="bottom" wrapText="1"/>
    </xf>
    <xf borderId="0" fillId="13" fontId="11" numFmtId="164" xfId="0" applyAlignment="1" applyFill="1" applyFont="1" applyNumberFormat="1">
      <alignment horizontal="center" shrinkToFit="0" vertical="bottom" wrapText="1"/>
    </xf>
    <xf borderId="0" fillId="13" fontId="1" numFmtId="165" xfId="0" applyAlignment="1" applyFill="1" applyFont="1" applyNumberFormat="1">
      <alignment horizontal="center" shrinkToFit="0" vertical="bottom" wrapText="1"/>
    </xf>
    <xf borderId="51" fillId="9" fontId="11" numFmtId="164" xfId="0" applyAlignment="1" applyBorder="1" applyFill="1" applyFont="1" applyNumberFormat="1">
      <alignment horizontal="center" shrinkToFit="0" vertical="bottom" wrapText="1"/>
    </xf>
    <xf borderId="41" fillId="13" fontId="11" numFmtId="164" xfId="0" applyAlignment="1" applyBorder="1" applyFill="1" applyFont="1" applyNumberFormat="1">
      <alignment horizontal="center" shrinkToFit="0" vertical="bottom" wrapText="1"/>
    </xf>
    <xf borderId="70" fillId="3" fontId="1" numFmtId="0" xfId="0" applyAlignment="1" applyBorder="1" applyFill="1" applyFont="1">
      <alignment horizontal="center" readingOrder="0" shrinkToFit="0" vertical="bottom" wrapText="1"/>
    </xf>
    <xf borderId="1" fillId="3" fontId="5" numFmtId="0" xfId="0" applyBorder="1" applyFill="1" applyFont="1"/>
    <xf borderId="51" fillId="3" fontId="5" numFmtId="0" xfId="0" applyBorder="1" applyFill="1" applyFont="1"/>
    <xf borderId="8" fillId="3" fontId="14" numFmtId="0" xfId="0" applyAlignment="1" applyBorder="1" applyFill="1" applyFont="1">
      <alignment horizontal="center" readingOrder="0" shrinkToFit="0" vertical="center" wrapText="1"/>
    </xf>
    <xf borderId="17" fillId="3" fontId="14" numFmtId="0" xfId="0" applyAlignment="1" applyBorder="1" applyFill="1" applyFont="1">
      <alignment horizontal="center" readingOrder="0" shrinkToFit="0" vertical="center" wrapText="1"/>
    </xf>
    <xf borderId="12" fillId="7" fontId="7" numFmtId="0" xfId="0" applyAlignment="1" applyBorder="1" applyFill="1" applyFont="1">
      <alignment horizontal="center" readingOrder="0" shrinkToFit="0" vertical="center" wrapText="1"/>
    </xf>
    <xf borderId="41" fillId="3" fontId="19" numFmtId="0" xfId="0" applyAlignment="1" applyBorder="1" applyFill="1" applyFont="1">
      <alignment horizontal="center" shrinkToFit="0" vertical="bottom" wrapText="1"/>
    </xf>
    <xf borderId="0" fillId="4" fontId="4" numFmtId="0" xfId="0" applyAlignment="1" applyFill="1" applyFont="1">
      <alignment horizontal="center" readingOrder="0" shrinkToFit="0" textRotation="135" vertical="center" wrapText="1"/>
    </xf>
    <xf borderId="40" fillId="12" fontId="1" numFmtId="0" xfId="0" applyAlignment="1" applyBorder="1" applyFill="1" applyFont="1">
      <alignment readingOrder="0" shrinkToFit="0" vertical="bottom" wrapText="1"/>
    </xf>
    <xf borderId="52" fillId="11" fontId="5" numFmtId="0" xfId="0" applyBorder="1" applyFill="1" applyFont="1"/>
    <xf borderId="71" fillId="13" fontId="1" numFmtId="165" xfId="0" applyAlignment="1" applyBorder="1" applyFill="1" applyFont="1" applyNumberFormat="1">
      <alignment shrinkToFit="0" vertical="bottom" wrapText="1"/>
    </xf>
    <xf borderId="68" fillId="13" fontId="1" numFmtId="165" xfId="0" applyAlignment="1" applyBorder="1" applyFill="1" applyFont="1" applyNumberFormat="1">
      <alignment shrinkToFit="0" vertical="bottom" wrapText="1"/>
    </xf>
    <xf borderId="68" fillId="3" fontId="1" numFmtId="0" xfId="0" applyAlignment="1" applyBorder="1" applyFill="1" applyFont="1">
      <alignment shrinkToFit="0" vertical="bottom" wrapText="1"/>
    </xf>
    <xf borderId="0" fillId="9" fontId="11" numFmtId="164" xfId="0" applyAlignment="1" applyFill="1" applyFont="1" applyNumberFormat="1">
      <alignment horizontal="center" shrinkToFit="0" vertical="bottom" wrapText="1"/>
    </xf>
    <xf borderId="0" fillId="9" fontId="1" numFmtId="165" xfId="0" applyAlignment="1" applyFill="1" applyFont="1" applyNumberFormat="1">
      <alignment horizontal="center" shrinkToFit="0" vertical="bottom" wrapText="1"/>
    </xf>
    <xf borderId="41" fillId="9" fontId="11" numFmtId="164" xfId="0" applyAlignment="1" applyBorder="1" applyFill="1" applyFont="1" applyNumberFormat="1">
      <alignment horizontal="center" shrinkToFit="0" vertical="bottom" wrapText="1"/>
    </xf>
    <xf borderId="12" fillId="7" fontId="8" numFmtId="0" xfId="0" applyAlignment="1" applyBorder="1" applyFill="1" applyFont="1">
      <alignment horizontal="center" readingOrder="0" vertical="center"/>
    </xf>
    <xf borderId="1" fillId="9" fontId="11" numFmtId="164" xfId="0" applyAlignment="1" applyBorder="1" applyFill="1" applyFont="1" applyNumberFormat="1">
      <alignment horizontal="center" readingOrder="0" shrinkToFit="0" vertical="bottom" wrapText="1"/>
    </xf>
    <xf borderId="71" fillId="9" fontId="1" numFmtId="165" xfId="0" applyAlignment="1" applyBorder="1" applyFill="1" applyFont="1" applyNumberFormat="1">
      <alignment shrinkToFit="0" vertical="bottom" wrapText="1"/>
    </xf>
    <xf borderId="5" fillId="0" fontId="1" numFmtId="0" xfId="0" applyAlignment="1" applyBorder="1" applyFont="1">
      <alignment vertical="bottom"/>
    </xf>
    <xf borderId="68" fillId="9" fontId="1" numFmtId="165" xfId="0" applyAlignment="1" applyBorder="1" applyFill="1" applyFont="1" applyNumberFormat="1">
      <alignment shrinkToFit="0" vertical="bottom" wrapText="1"/>
    </xf>
    <xf borderId="51" fillId="0" fontId="20" numFmtId="0" xfId="0" applyAlignment="1" applyBorder="1" applyFont="1">
      <alignment horizontal="center" shrinkToFit="0" vertical="bottom" wrapText="1"/>
    </xf>
    <xf borderId="1" fillId="5" fontId="4" numFmtId="0" xfId="0" applyAlignment="1" applyBorder="1" applyFill="1" applyFont="1">
      <alignment horizontal="center" readingOrder="0" shrinkToFit="0" textRotation="135" vertical="center" wrapText="1"/>
    </xf>
    <xf borderId="26" fillId="3" fontId="10" numFmtId="0" xfId="0" applyAlignment="1" applyBorder="1" applyFill="1" applyFont="1">
      <alignment horizontal="center" readingOrder="0" vertical="center"/>
    </xf>
    <xf borderId="72" fillId="11" fontId="5" numFmtId="0" xfId="0" applyBorder="1" applyFill="1" applyFont="1"/>
    <xf borderId="73" fillId="9" fontId="1" numFmtId="165" xfId="0" applyAlignment="1" applyBorder="1" applyFill="1" applyFont="1" applyNumberFormat="1">
      <alignment shrinkToFit="0" vertical="bottom" wrapText="1"/>
    </xf>
    <xf borderId="68" fillId="0" fontId="1" numFmtId="0" xfId="0" applyAlignment="1" applyBorder="1" applyFont="1">
      <alignment readingOrder="0" shrinkToFit="0" vertical="bottom" wrapText="1"/>
    </xf>
    <xf borderId="74" fillId="11" fontId="5" numFmtId="0" xfId="0" applyBorder="1" applyFill="1" applyFont="1"/>
    <xf borderId="75" fillId="11" fontId="5" numFmtId="0" xfId="0" applyBorder="1" applyFill="1" applyFont="1"/>
    <xf borderId="72" fillId="3" fontId="5" numFmtId="0" xfId="0" applyBorder="1" applyFill="1" applyFont="1"/>
    <xf borderId="70" fillId="13" fontId="11" numFmtId="164" xfId="0" applyAlignment="1" applyBorder="1" applyFill="1" applyFont="1" applyNumberFormat="1">
      <alignment horizontal="center" shrinkToFit="0" vertical="bottom" wrapText="1"/>
    </xf>
    <xf borderId="1" fillId="13" fontId="1" numFmtId="165" xfId="0" applyAlignment="1" applyBorder="1" applyFill="1" applyFont="1" applyNumberFormat="1">
      <alignment horizontal="center" shrinkToFit="0" vertical="bottom" wrapText="1"/>
    </xf>
    <xf borderId="51" fillId="13" fontId="11" numFmtId="164" xfId="0" applyAlignment="1" applyBorder="1" applyFill="1" applyFont="1" applyNumberFormat="1">
      <alignment horizontal="center" shrinkToFit="0" vertical="bottom" wrapText="1"/>
    </xf>
    <xf borderId="51" fillId="3" fontId="21" numFmtId="0" xfId="0" applyAlignment="1" applyBorder="1" applyFill="1" applyFont="1">
      <alignment horizontal="center" shrinkToFit="0" vertical="bottom" wrapText="1"/>
    </xf>
    <xf borderId="11" fillId="3" fontId="1" numFmtId="0" xfId="0" applyBorder="1" applyFill="1" applyFont="1"/>
    <xf borderId="76" fillId="3" fontId="5" numFmtId="0" xfId="0" applyBorder="1" applyFill="1" applyFont="1"/>
    <xf borderId="17" fillId="3" fontId="14" numFmtId="0" xfId="0" applyAlignment="1" applyBorder="1" applyFill="1" applyFont="1">
      <alignment horizontal="center" shrinkToFit="0" vertical="center" wrapText="1"/>
    </xf>
    <xf borderId="73" fillId="13" fontId="1" numFmtId="165" xfId="0" applyAlignment="1" applyBorder="1" applyFill="1" applyFont="1" applyNumberFormat="1">
      <alignment shrinkToFit="0" vertical="bottom" wrapText="1"/>
    </xf>
    <xf borderId="40" fillId="14" fontId="1" numFmtId="0" xfId="0" applyAlignment="1" applyBorder="1" applyFill="1" applyFont="1">
      <alignment readingOrder="0" shrinkToFit="0" vertical="bottom" wrapText="1"/>
    </xf>
    <xf borderId="76" fillId="11" fontId="5" numFmtId="0" xfId="0" applyBorder="1" applyFill="1" applyFont="1"/>
    <xf borderId="51" fillId="0" fontId="5" numFmtId="0" xfId="0" applyBorder="1" applyFont="1"/>
    <xf borderId="70" fillId="9" fontId="11" numFmtId="164" xfId="0" applyAlignment="1" applyBorder="1" applyFill="1" applyFont="1" applyNumberFormat="1">
      <alignment horizontal="center" shrinkToFit="0" vertical="bottom" wrapText="1"/>
    </xf>
    <xf borderId="8" fillId="3" fontId="14" numFmtId="0" xfId="0" applyAlignment="1" applyBorder="1" applyFill="1" applyFont="1">
      <alignment horizontal="center" shrinkToFit="0" vertical="center" wrapText="1"/>
    </xf>
    <xf borderId="73" fillId="11" fontId="5" numFmtId="0" xfId="0" applyBorder="1" applyFill="1" applyFont="1"/>
    <xf borderId="71" fillId="11" fontId="5" numFmtId="0" xfId="0" applyBorder="1" applyFill="1" applyFont="1"/>
    <xf borderId="68" fillId="11" fontId="5" numFmtId="0" xfId="0" applyBorder="1" applyFill="1" applyFont="1"/>
    <xf borderId="1" fillId="3" fontId="4" numFmtId="0" xfId="0" applyAlignment="1" applyBorder="1" applyFill="1" applyFont="1">
      <alignment horizontal="center" readingOrder="0" shrinkToFit="0" textRotation="135" vertical="center" wrapText="1"/>
    </xf>
    <xf borderId="72" fillId="0" fontId="5" numFmtId="0" xfId="0" applyBorder="1" applyFont="1"/>
    <xf borderId="41" fillId="0" fontId="5" numFmtId="0" xfId="0" applyBorder="1" applyFont="1"/>
    <xf borderId="0" fillId="3" fontId="4" numFmtId="0" xfId="0" applyAlignment="1" applyFill="1" applyFont="1">
      <alignment horizontal="center" readingOrder="0" shrinkToFit="0" textRotation="135" vertical="center" wrapText="1"/>
    </xf>
    <xf borderId="17" fillId="3" fontId="14" numFmtId="0" xfId="0" applyAlignment="1" applyBorder="1" applyFill="1" applyFont="1">
      <alignment horizontal="center" shrinkToFit="0" vertical="center" wrapText="1"/>
    </xf>
    <xf borderId="0" fillId="5" fontId="4" numFmtId="0" xfId="0" applyAlignment="1" applyFill="1" applyFont="1">
      <alignment horizontal="center" readingOrder="0" shrinkToFit="0" textRotation="135" vertical="center" wrapText="1"/>
    </xf>
    <xf borderId="77" fillId="3" fontId="1" numFmtId="0" xfId="0" applyAlignment="1" applyBorder="1" applyFill="1" applyFont="1">
      <alignment readingOrder="0" shrinkToFit="0" vertical="bottom" wrapText="1"/>
    </xf>
    <xf borderId="78" fillId="11" fontId="5" numFmtId="0" xfId="0" applyBorder="1" applyFill="1" applyFont="1"/>
    <xf borderId="79" fillId="11" fontId="5" numFmtId="0" xfId="0" applyBorder="1" applyFill="1" applyFont="1"/>
    <xf borderId="80" fillId="11" fontId="5" numFmtId="0" xfId="0" applyBorder="1" applyFill="1" applyFont="1"/>
    <xf borderId="81" fillId="3" fontId="14" numFmtId="0" xfId="0" applyAlignment="1" applyBorder="1" applyFill="1" applyFont="1">
      <alignment horizontal="center" shrinkToFit="0" vertical="center" wrapText="1"/>
    </xf>
    <xf borderId="82" fillId="3" fontId="14" numFmtId="0" xfId="0" applyAlignment="1" applyBorder="1" applyFill="1" applyFont="1">
      <alignment horizontal="center" shrinkToFit="0" vertical="center" wrapText="1"/>
    </xf>
    <xf borderId="82" fillId="3" fontId="14" numFmtId="0" xfId="0" applyAlignment="1" applyBorder="1" applyFill="1" applyFont="1">
      <alignment horizontal="center" readingOrder="0" shrinkToFit="0" vertical="center" wrapText="1"/>
    </xf>
    <xf borderId="82" fillId="3" fontId="14" numFmtId="0" xfId="0" applyAlignment="1" applyBorder="1" applyFill="1" applyFont="1">
      <alignment horizontal="center" shrinkToFit="0" vertical="center" wrapText="1"/>
    </xf>
    <xf borderId="78" fillId="9" fontId="1" numFmtId="165" xfId="0" applyAlignment="1" applyBorder="1" applyFill="1" applyFont="1" applyNumberFormat="1">
      <alignment shrinkToFit="0" vertical="bottom" wrapText="1"/>
    </xf>
    <xf borderId="79" fillId="9" fontId="1" numFmtId="165" xfId="0" applyAlignment="1" applyBorder="1" applyFill="1" applyFont="1" applyNumberFormat="1">
      <alignment shrinkToFit="0" vertical="bottom" wrapText="1"/>
    </xf>
    <xf borderId="79" fillId="3" fontId="1" numFmtId="0" xfId="0" applyAlignment="1" applyBorder="1" applyFill="1" applyFont="1">
      <alignment shrinkToFit="0" vertical="bottom" wrapText="1"/>
    </xf>
    <xf borderId="78" fillId="0" fontId="5" numFmtId="0" xfId="0" applyBorder="1" applyFont="1"/>
    <xf borderId="83" fillId="3" fontId="3" numFmtId="0" xfId="0" applyAlignment="1" applyBorder="1" applyFill="1" applyFont="1">
      <alignment horizontal="center" readingOrder="0" shrinkToFit="0" textRotation="0" vertical="center" wrapText="1"/>
    </xf>
    <xf borderId="84" fillId="0" fontId="5" numFmtId="0" xfId="0" applyBorder="1" applyFont="1"/>
    <xf borderId="10" fillId="0" fontId="1" numFmtId="0" xfId="0" applyAlignment="1" applyBorder="1" applyFont="1">
      <alignment vertical="bottom"/>
    </xf>
    <xf borderId="18" fillId="0" fontId="1" numFmtId="0" xfId="0" applyAlignment="1" applyBorder="1" applyFont="1">
      <alignment vertical="bottom"/>
    </xf>
    <xf borderId="18" fillId="0" fontId="1" numFmtId="0" xfId="0" applyAlignment="1" applyBorder="1" applyFont="1">
      <alignment shrinkToFit="0" wrapText="1"/>
    </xf>
    <xf borderId="73" fillId="0" fontId="5" numFmtId="0" xfId="0" applyBorder="1" applyFont="1"/>
    <xf borderId="0" fillId="0" fontId="1" numFmtId="0" xfId="0" applyAlignment="1" applyFont="1">
      <alignment vertical="bottom"/>
    </xf>
    <xf borderId="71" fillId="0" fontId="5" numFmtId="0" xfId="0" applyBorder="1" applyFont="1"/>
    <xf borderId="68" fillId="0" fontId="5" numFmtId="0" xfId="0" applyBorder="1" applyFont="1"/>
    <xf borderId="10" fillId="0" fontId="1" numFmtId="0" xfId="0" applyAlignment="1" applyBorder="1" applyFont="1">
      <alignment shrinkToFit="0" wrapText="1"/>
    </xf>
    <xf borderId="78" fillId="0" fontId="11" numFmtId="0" xfId="0" applyAlignment="1" applyBorder="1" applyFont="1">
      <alignment readingOrder="0" vertical="bottom"/>
    </xf>
    <xf borderId="0" fillId="0" fontId="1" numFmtId="0" xfId="0" applyAlignment="1" applyFont="1">
      <alignment horizontal="right" vertical="bottom"/>
    </xf>
    <xf borderId="10" fillId="0" fontId="8" numFmtId="0" xfId="0" applyAlignment="1" applyBorder="1" applyFont="1">
      <alignment vertical="bottom"/>
    </xf>
    <xf borderId="5" fillId="0" fontId="8" numFmtId="0" xfId="0" applyAlignment="1" applyBorder="1" applyFont="1">
      <alignment vertical="bottom"/>
    </xf>
    <xf borderId="9" fillId="0" fontId="5" numFmtId="0" xfId="0" applyBorder="1" applyFont="1"/>
    <xf borderId="5" fillId="0" fontId="8" numFmtId="0" xfId="0" applyAlignment="1" applyBorder="1" applyFont="1">
      <alignment readingOrder="0" vertical="bottom"/>
    </xf>
    <xf borderId="0" fillId="0" fontId="8" numFmtId="0" xfId="0" applyAlignment="1" applyFont="1">
      <alignment vertical="bottom"/>
    </xf>
    <xf borderId="78" fillId="3" fontId="4" numFmtId="0" xfId="0" applyAlignment="1" applyBorder="1" applyFill="1" applyFont="1">
      <alignment horizontal="center" readingOrder="0" shrinkToFit="0" textRotation="135" vertical="center" wrapText="1"/>
    </xf>
    <xf borderId="85" fillId="0" fontId="5" numFmtId="0" xfId="0" applyBorder="1" applyFont="1"/>
    <xf borderId="79" fillId="0" fontId="5" numFmtId="0" xfId="0" applyBorder="1" applyFont="1"/>
    <xf borderId="18" fillId="0" fontId="1"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3">
    <tableStyle count="3" pivot="0" name="okt - des 26-style">
      <tableStyleElement dxfId="1" type="firstRowStripe"/>
      <tableStyleElement dxfId="2" type="secondRowStripe"/>
      <tableStyleElement dxfId="3" type="totalRow"/>
    </tableStyle>
    <tableStyle count="3" pivot="0" name="feb - apríl 27-style">
      <tableStyleElement dxfId="1" type="firstRowStripe"/>
      <tableStyleElement dxfId="2" type="secondRowStripe"/>
      <tableStyleElement dxfId="3" type="totalRow"/>
    </tableStyle>
    <tableStyle count="3" pivot="0" name="des 26 - feb 27-style">
      <tableStyleElement dxfId="1" type="firstRowStripe"/>
      <tableStyleElement dxfId="2" type="secondRowStripe"/>
      <tableStyleElement dxfId="3" type="totalRow"/>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nar Péturs" id="{00d6e271-520e-4a33-8b64-837bc613d3be}" providerId="google-sheets"/>
  <x18tc:person displayName="petursson.arnar@gmail.com" id="{87648124-e7b9-4ed9-aaa4-b128b2d58412}" userId="petursson.arnar@gmail.com" providerId="google-sheets"/>
  <x18tc:person displayName="Sigrún Haraldsdóttir" id="{c7bd9d83-ba74-4fcc-a80e-c12cc046cbb2}" providerId="google-sheets"/>
</x18tc:personList>
</file>

<file path=xl/tables/table1.xml><?xml version="1.0" encoding="utf-8"?>
<table xmlns="http://schemas.openxmlformats.org/spreadsheetml/2006/main" totalsRowCount="1" headerRowCount="0" ref="H8:N25"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okt - des 26-style" showColumnStripes="0" showFirstColumn="1" showLastColumn="1" showRowStripes="1"/>
</table>
</file>

<file path=xl/tables/table2.xml><?xml version="1.0" encoding="utf-8"?>
<table xmlns="http://schemas.openxmlformats.org/spreadsheetml/2006/main" totalsRowCount="1" headerRowCount="0" ref="H8:N25"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des 26 - feb 27-style" showColumnStripes="0" showFirstColumn="1" showLastColumn="1" showRowStripes="1"/>
</table>
</file>

<file path=xl/tables/table3.xml><?xml version="1.0" encoding="utf-8"?>
<table xmlns="http://schemas.openxmlformats.org/spreadsheetml/2006/main" totalsRowCount="1" headerRowCount="0" ref="H7:N24"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feb - apríl 27-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0" dT="2026-10-17T10:38:01.00" personId="{c7bd9d83-ba74-4fcc-a80e-c12cc046cbb2}" id="{e20eba99-820c-4af4-9a12-dec76639449f}" done="0">
    <x18tc:text xml:space="preserve">fór snemma út, hvasst í efri byggðum. Fattaði þegar ég var að kveikja á úrinu að það var að verða batteríslaust...kveikti á strava í símanum svo enginn HR eða farið eftir pace fyrirmælum :/..en gerði mitt besta. Var frekar þung og þreytt í dag fann fyrir mjöðm og niður í fót í lokin. Alltaf gott þegar búið.</x18tc:text>
  </x18tc:threadedComment>
  <x18tc:threadedComment ref="H8" dT="2026-10-04T11:39:12.00" personId="{c7bd9d83-ba74-4fcc-a80e-c12cc046cbb2}" id="{64569d7f-161f-44aa-83f9-81aa28666dd6}" done="0">
    <x18tc:text xml:space="preserve">Mánudagsæfing tekin á sunnudegi -fór utanvegar stíga, leið vel og hljóp í tæpar 38 mín. Fann aðeins fyrir mjöðm og þreytu í lærum í lokin..sem var smá sjokker. 113m hækkun, av pace 7:14 avg púls 155.</x18tc:text>
  </x18tc:threadedComment>
  <x18tc:threadedComment ref="I8" dT="2026-10-06T19:01:50.00" personId="{c7bd9d83-ba74-4fcc-a80e-c12cc046cbb2}" id="{8dabdc9f-12d1-40e3-8227-75ffca8f0019}" done="0">
    <x18tc:text xml:space="preserve">Rólegar 40 mínútur utanvega, 120m hækkun. Leið vel, fannst ég þó mjög móð fyrstu 500m, hægði á mér og leið vel það sem eftir var hlaups. Fann ekki fyrir mjöðm né baki. Var mjög stíf í baki eftir sunnudagshlaup. Avg púls 159 pace 7:10</x18tc:text>
  </x18tc:threadedComment>
  <x18tc:threadedComment ref="I9" dT="2026-10-06T19:53:57.00" personId="{c7bd9d83-ba74-4fcc-a80e-c12cc046cbb2}" id="{ccb1878e-8230-4b2f-bdc6-5e42c4fae3ba}" done="0">
    <x18tc:text xml:space="preserve">mjaðma/bak æfingar frá sjúkraþjálfara, styrktaræfingar úr prógramminu.</x18tc:text>
  </x18tc:threadedComment>
  <x18tc:threadedComment ref="L8" dT="2026-10-09T17:02:28.00" personId="{c7bd9d83-ba74-4fcc-a80e-c12cc046cbb2}" id="{3ba3d7d8-2ee7-4662-a185-f447db12228d}" done="0">
    <x18tc:text xml:space="preserve">40 mín utanvega -&gt; 12 mín E að brekku, 1' upp og 1'rólegt niður+1'alveg hvíld *6 rólegt skokk heim (reyndar allt upp í móti :) . Leið vel og fannst ég bara halda fínum "hraða" upp og fann bara fyrir smá læraþreytu í síðustu ferðinni. Brekkan frekar brött - hestastígur upp frá vatni. Av púls 160 og pace 8:20</x18tc:text>
  </x18tc:threadedComment>
  <x18tc:threadedComment ref="H10" dT="2026-10-14T18:57:44.00" personId="{c7bd9d83-ba74-4fcc-a80e-c12cc046cbb2}" id="{95cdecfd-1699-4aef-9312-37c74c0072b9}" done="0">
    <x18tc:text xml:space="preserve">Fór út í ógeðslegu roki, rigningu og hagléli. Fannst þetta geggjuð æfing og leið vel. Fór á malbik þar sem mér þótti nóg að díla við veðrið þar en ekki út í móa. Var 35:30 mínútur, pace 6:17, 95m hækkun. Avg HR:152. En að díla við stíft bak.</x18tc:text>
  </x18tc:threadedComment>
  <x18tc:threadedComment ref="J10" dT="2026-10-14T19:02:43.00" personId="{c7bd9d83-ba74-4fcc-a80e-c12cc046cbb2}" id="{88ce2718-c7bf-4316-98ba-1d098b7858d2}" done="0">
    <x18tc:text xml:space="preserve">Utanvegar að heiman, fór aðeins of langt og of mikið af brekkum til að þetta yrði mjög easy. ..en leið samt bara vel en fann aðeins fyrir mjöðminni. Tími 47mín, Av pace:7:17 Av HR: 146, hækkun 150m. Finn vel fyrir mjöðm og stífu baki 2-3 tímum eftir hlaup.Tek lyftingar á morgun ef betri.</x18tc:text>
  </x18tc:threadedComment>
  <x18tc:threadedComment ref="J10" dT="2026-10-14T19:06:02.00" personId="{c7bd9d83-ba74-4fcc-a80e-c12cc046cbb2}" id="{95e3e9a9-431c-4e6b-bc4d-c4e8974ba4b5}" parentId="{88ce2718-c7bf-4316-98ba-1d098b7858d2}">
    <x18tc:text xml:space="preserve">@petursson.arnar@gmail.com varðandi næstu æfingu þar sem er pace 6:20-6:30 erum við þá að tala um á frekar sléttum stígum (malbik) eða utanvegar með brekkum?</x18tc:text>
    <x18tc:mentions>
      <x18tc:mention mentionpersonId="{87648124-e7b9-4ed9-aaa4-b128b2d58412}" mentionId="{46ebbe92-975c-4557-a3f0-b95d6f425967}" startIndex="0" length="26"/>
    </x18tc:mentions>
  </x18tc:threadedComment>
  <x18tc:threadedComment ref="J10" dT="2026-10-14T20:04:35.00" personId="{c7bd9d83-ba74-4fcc-a80e-c12cc046cbb2}" id="{9de1f456-de35-44ca-a7f3-37196a3772d3}" parentId="{88ce2718-c7bf-4316-98ba-1d098b7858d2}">
    <x18tc:text xml:space="preserve">Marked as resolved</x18tc:text>
  </x18tc:threadedComment>
  <x18tc:threadedComment ref="J10" dT="2026-10-15T09:58:35.00" personId="{00d6e271-520e-4a33-8b64-837bc613d3be}" id="{fc6e98b7-1823-4af0-afae-b872762b82ce}" parentId="{88ce2718-c7bf-4316-98ba-1d098b7858d2}">
    <x18tc:text xml:space="preserve">Já, gott að hafa í huga að þegar ég set inn pace þá er það alltaf miðað við góðar aðstæður, þannig ef þú ert á stígum eða í vindi eða brekkum þá máttu hægja vel á þér og hgusa meira um fílinginn sem væri á hraðanum sem er settur fyrir í flötum aðstæðum.
1 total reaction
Sigrún Haraldsdóttir reacted with 👍 at 10/15/2026, 7:08 PM UTC
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1" max="1" width="1.38"/>
    <col customWidth="1" min="2" max="2" width="17.5"/>
    <col customWidth="1" min="3" max="3" width="11.88"/>
    <col customWidth="1" min="4" max="4" width="16.5"/>
    <col customWidth="1" min="5" max="5" width="17.13"/>
    <col customWidth="1" min="6" max="6" width="20.5"/>
    <col customWidth="1" min="7" max="7" width="17.13"/>
    <col customWidth="1" min="8" max="14" width="9.5"/>
    <col customWidth="1" min="15" max="15" width="5.13"/>
    <col customWidth="1" min="16" max="16" width="6.0"/>
    <col customWidth="1" min="17" max="17" width="5.25"/>
    <col customWidth="1" min="19" max="19" width="14.88"/>
  </cols>
  <sheetData>
    <row r="1" ht="9.0" customHeight="1" outlineLevel="1">
      <c r="A1" s="8"/>
      <c r="B1" s="9"/>
      <c r="C1" s="10"/>
      <c r="D1" s="10"/>
      <c r="E1" s="10"/>
      <c r="F1" s="10"/>
      <c r="G1" s="10"/>
      <c r="H1" s="10"/>
      <c r="I1" s="10"/>
      <c r="J1" s="10"/>
      <c r="K1" s="10"/>
      <c r="L1" s="10"/>
      <c r="M1" s="10"/>
      <c r="N1" s="10"/>
      <c r="O1" s="10"/>
      <c r="P1" s="10"/>
      <c r="Q1" s="10"/>
      <c r="R1" s="10"/>
      <c r="S1" s="10"/>
      <c r="T1" s="10"/>
      <c r="U1" s="10"/>
      <c r="V1" s="10"/>
      <c r="W1" s="12"/>
      <c r="X1" s="12"/>
      <c r="Y1" s="12"/>
      <c r="Z1" s="12"/>
      <c r="AA1" s="12"/>
      <c r="AB1" s="12"/>
      <c r="AC1" s="12"/>
    </row>
    <row r="2" ht="30.0" customHeight="1" outlineLevel="1">
      <c r="B2" s="13" t="s">
        <v>13</v>
      </c>
      <c r="C2" s="14"/>
      <c r="D2" s="14"/>
      <c r="E2" s="14"/>
      <c r="F2" s="14"/>
      <c r="G2" s="14"/>
      <c r="H2" s="14"/>
      <c r="I2" s="14"/>
      <c r="J2" s="14"/>
      <c r="K2" s="14"/>
      <c r="L2" s="14"/>
      <c r="M2" s="15"/>
      <c r="N2" s="16"/>
      <c r="O2" s="17" t="s">
        <v>14</v>
      </c>
      <c r="P2" s="18"/>
      <c r="Q2" s="18"/>
      <c r="R2" s="18"/>
      <c r="S2" s="18"/>
      <c r="T2" s="18"/>
      <c r="U2" s="19"/>
      <c r="V2" s="20"/>
      <c r="W2" s="21"/>
      <c r="X2" s="21"/>
      <c r="Y2" s="16"/>
      <c r="Z2" s="22"/>
      <c r="AA2" s="22"/>
      <c r="AB2" s="12"/>
      <c r="AC2" s="12"/>
    </row>
    <row r="3" ht="76.5" customHeight="1" outlineLevel="1">
      <c r="B3" s="23" t="s">
        <v>15</v>
      </c>
      <c r="C3" s="24"/>
      <c r="D3" s="25" t="s">
        <v>16</v>
      </c>
      <c r="E3" s="24"/>
      <c r="F3" s="26" t="s">
        <v>17</v>
      </c>
      <c r="G3" s="27" t="s">
        <v>18</v>
      </c>
      <c r="H3" s="28" t="s">
        <v>19</v>
      </c>
      <c r="I3" s="29"/>
      <c r="J3" s="24"/>
      <c r="K3" s="28" t="s">
        <v>20</v>
      </c>
      <c r="L3" s="24"/>
      <c r="M3" s="30" t="s">
        <v>21</v>
      </c>
      <c r="N3" s="31"/>
      <c r="O3" s="32">
        <v>1.0</v>
      </c>
      <c r="P3" s="33" t="s">
        <v>22</v>
      </c>
      <c r="Q3" s="18"/>
      <c r="R3" s="18"/>
      <c r="S3" s="18"/>
      <c r="T3" s="18"/>
      <c r="U3" s="19"/>
      <c r="V3" s="20"/>
      <c r="W3" s="21"/>
      <c r="X3" s="21"/>
      <c r="Y3" s="16"/>
      <c r="Z3" s="22"/>
      <c r="AA3" s="22"/>
      <c r="AB3" s="12"/>
      <c r="AC3" s="12"/>
    </row>
    <row r="4" ht="27.75" customHeight="1" outlineLevel="1">
      <c r="B4" s="34" t="s">
        <v>23</v>
      </c>
      <c r="C4" s="24"/>
      <c r="D4" s="34" t="s">
        <v>24</v>
      </c>
      <c r="E4" s="24"/>
      <c r="F4" s="35" t="s">
        <v>25</v>
      </c>
      <c r="G4" s="36" t="s">
        <v>26</v>
      </c>
      <c r="H4" s="37" t="s">
        <v>27</v>
      </c>
      <c r="I4" s="29"/>
      <c r="J4" s="24"/>
      <c r="K4" s="37" t="s">
        <v>28</v>
      </c>
      <c r="L4" s="24"/>
      <c r="M4" s="38"/>
      <c r="N4" s="31"/>
      <c r="O4" s="32">
        <v>2.0</v>
      </c>
      <c r="P4" s="33" t="s">
        <v>29</v>
      </c>
      <c r="Q4" s="18"/>
      <c r="R4" s="18"/>
      <c r="S4" s="18"/>
      <c r="T4" s="18"/>
      <c r="U4" s="19"/>
      <c r="V4" s="20"/>
      <c r="W4" s="21"/>
      <c r="X4" s="21"/>
      <c r="Y4" s="16"/>
      <c r="Z4" s="22"/>
      <c r="AA4" s="22"/>
      <c r="AB4" s="12"/>
      <c r="AC4" s="12"/>
    </row>
    <row r="5" ht="27.75" customHeight="1" outlineLevel="1">
      <c r="B5" s="39"/>
      <c r="C5" s="39"/>
      <c r="D5" s="39"/>
      <c r="E5" s="40"/>
      <c r="F5" s="40"/>
      <c r="G5" s="41"/>
      <c r="H5" s="42"/>
      <c r="I5" s="43"/>
      <c r="J5" s="44"/>
      <c r="K5" s="42"/>
      <c r="L5" s="40"/>
      <c r="M5" s="40"/>
      <c r="N5" s="45"/>
      <c r="O5" s="20"/>
      <c r="P5" s="46"/>
      <c r="Q5" s="47"/>
      <c r="R5" s="48"/>
      <c r="S5" s="46"/>
      <c r="T5" s="47"/>
      <c r="U5" s="49"/>
      <c r="V5" s="22"/>
      <c r="W5" s="21"/>
      <c r="X5" s="21"/>
      <c r="Y5" s="16"/>
      <c r="Z5" s="22"/>
      <c r="AA5" s="22"/>
      <c r="AB5" s="12"/>
      <c r="AC5" s="12"/>
    </row>
    <row r="6" ht="7.5" customHeight="1">
      <c r="B6" s="50"/>
      <c r="C6" s="51"/>
      <c r="D6" s="51"/>
      <c r="E6" s="51"/>
      <c r="F6" s="51"/>
      <c r="G6" s="51"/>
      <c r="H6" s="51"/>
      <c r="I6" s="51"/>
      <c r="J6" s="51"/>
      <c r="K6" s="51"/>
      <c r="L6" s="51"/>
      <c r="M6" s="52"/>
      <c r="N6" s="53"/>
      <c r="O6" s="54"/>
      <c r="P6" s="55"/>
      <c r="Q6" s="55"/>
      <c r="R6" s="55"/>
      <c r="S6" s="55"/>
      <c r="T6" s="55"/>
      <c r="U6" s="46"/>
      <c r="V6" s="46"/>
      <c r="W6" s="21"/>
      <c r="X6" s="21"/>
      <c r="Y6" s="16"/>
      <c r="Z6" s="22"/>
      <c r="AA6" s="22"/>
      <c r="AB6" s="12"/>
      <c r="AC6" s="12"/>
    </row>
    <row r="7" ht="27.75" customHeight="1">
      <c r="B7" s="56" t="s">
        <v>30</v>
      </c>
      <c r="C7" s="57"/>
      <c r="D7" s="58"/>
      <c r="E7" s="59" t="s">
        <v>31</v>
      </c>
      <c r="F7" s="57"/>
      <c r="G7" s="58"/>
      <c r="H7" s="60" t="s">
        <v>32</v>
      </c>
      <c r="I7" s="61" t="s">
        <v>33</v>
      </c>
      <c r="J7" s="61" t="s">
        <v>34</v>
      </c>
      <c r="K7" s="61" t="s">
        <v>35</v>
      </c>
      <c r="L7" s="61" t="s">
        <v>36</v>
      </c>
      <c r="M7" s="61" t="s">
        <v>37</v>
      </c>
      <c r="N7" s="61" t="s">
        <v>38</v>
      </c>
      <c r="O7" s="62" t="s">
        <v>39</v>
      </c>
      <c r="P7" s="57"/>
      <c r="Q7" s="58"/>
      <c r="R7" s="63" t="s">
        <v>40</v>
      </c>
      <c r="S7" s="64" t="s">
        <v>41</v>
      </c>
      <c r="T7" s="64" t="s">
        <v>42</v>
      </c>
      <c r="U7" s="65"/>
      <c r="V7" s="66"/>
      <c r="W7" s="67"/>
      <c r="X7" s="21"/>
      <c r="Y7" s="16"/>
      <c r="Z7" s="22"/>
      <c r="AA7" s="22"/>
      <c r="AB7" s="12"/>
      <c r="AC7" s="12"/>
    </row>
    <row r="8" ht="29.25" customHeight="1">
      <c r="B8" s="68">
        <v>46300.0</v>
      </c>
      <c r="C8" s="69" t="s">
        <v>43</v>
      </c>
      <c r="D8" s="70">
        <f>B8+6</f>
        <v>46306</v>
      </c>
      <c r="E8" s="71" t="s">
        <v>44</v>
      </c>
      <c r="F8" s="72"/>
      <c r="G8" s="73"/>
      <c r="H8" s="74">
        <v>5.21</v>
      </c>
      <c r="I8" s="74">
        <v>5.83</v>
      </c>
      <c r="J8" s="75"/>
      <c r="K8" s="74"/>
      <c r="L8" s="74">
        <v>4.8</v>
      </c>
      <c r="M8" s="74"/>
      <c r="N8" s="74"/>
      <c r="O8" s="68">
        <v>46300.0</v>
      </c>
      <c r="P8" s="69" t="s">
        <v>43</v>
      </c>
      <c r="Q8" s="70">
        <f>O8+6</f>
        <v>46306</v>
      </c>
      <c r="R8" s="76">
        <f>SUM(H8:N8)+SUM(H9:N9)</f>
        <v>15.84</v>
      </c>
      <c r="S8" s="77" t="s">
        <v>45</v>
      </c>
      <c r="T8" s="78"/>
      <c r="U8" s="79"/>
      <c r="V8" s="20"/>
      <c r="W8" s="21"/>
      <c r="X8" s="21"/>
      <c r="Y8" s="16"/>
      <c r="Z8" s="22"/>
      <c r="AA8" s="22"/>
      <c r="AB8" s="12"/>
      <c r="AC8" s="12"/>
    </row>
    <row r="9" ht="29.25" customHeight="1">
      <c r="B9" s="80" t="s">
        <v>46</v>
      </c>
      <c r="D9" s="81"/>
      <c r="G9" s="82"/>
      <c r="H9" s="83" t="s">
        <v>47</v>
      </c>
      <c r="I9" s="84" t="s">
        <v>48</v>
      </c>
      <c r="J9" s="85" t="s">
        <v>49</v>
      </c>
      <c r="K9" s="74"/>
      <c r="L9" s="74"/>
      <c r="M9" s="74" t="s">
        <v>50</v>
      </c>
      <c r="N9" s="74"/>
      <c r="O9" s="86"/>
      <c r="P9" s="86"/>
      <c r="Q9" s="87"/>
      <c r="R9" s="88"/>
      <c r="T9" s="89"/>
      <c r="U9" s="90"/>
      <c r="V9" s="20"/>
      <c r="W9" s="21"/>
      <c r="X9" s="21"/>
      <c r="Y9" s="16"/>
      <c r="Z9" s="22"/>
      <c r="AA9" s="22"/>
      <c r="AB9" s="12"/>
      <c r="AC9" s="12"/>
    </row>
    <row r="10" ht="29.25" customHeight="1">
      <c r="B10" s="91" t="s">
        <v>51</v>
      </c>
      <c r="D10" s="92"/>
      <c r="G10" s="93"/>
      <c r="H10" s="94">
        <v>5.64</v>
      </c>
      <c r="I10" s="95"/>
      <c r="J10" s="94">
        <v>6.44</v>
      </c>
      <c r="K10" s="96"/>
      <c r="L10" s="96"/>
      <c r="M10" s="94">
        <v>8.3</v>
      </c>
      <c r="N10" s="97"/>
      <c r="O10" s="98">
        <f>$O$8+7</f>
        <v>46307</v>
      </c>
      <c r="P10" s="99" t="s">
        <v>43</v>
      </c>
      <c r="Q10" s="100">
        <f>$O$10+6</f>
        <v>46313</v>
      </c>
      <c r="R10" s="101">
        <f>SUM(H10:N10)+SUM(H11:N11)</f>
        <v>20.38</v>
      </c>
      <c r="T10" s="89"/>
      <c r="U10" s="90"/>
      <c r="V10" s="20"/>
      <c r="W10" s="21"/>
      <c r="X10" s="21"/>
      <c r="Y10" s="16"/>
      <c r="Z10" s="22"/>
      <c r="AA10" s="22"/>
      <c r="AB10" s="12"/>
      <c r="AC10" s="12"/>
    </row>
    <row r="11" ht="29.25" customHeight="1">
      <c r="B11" s="91" t="s">
        <v>52</v>
      </c>
      <c r="D11" s="81"/>
      <c r="G11" s="82"/>
      <c r="H11" s="102"/>
      <c r="I11" s="102"/>
      <c r="J11" s="102"/>
      <c r="K11" s="102"/>
      <c r="L11" s="102"/>
      <c r="M11" s="102"/>
      <c r="N11" s="102"/>
      <c r="O11" s="103"/>
      <c r="P11" s="103"/>
      <c r="Q11" s="104"/>
      <c r="R11" s="105"/>
      <c r="T11" s="89"/>
      <c r="U11" s="90"/>
      <c r="V11" s="20"/>
      <c r="W11" s="21"/>
      <c r="X11" s="21"/>
      <c r="Y11" s="16"/>
      <c r="Z11" s="22"/>
      <c r="AA11" s="22"/>
      <c r="AB11" s="12"/>
      <c r="AC11" s="12"/>
    </row>
    <row r="12" ht="29.25" customHeight="1">
      <c r="B12" s="91"/>
      <c r="D12" s="92"/>
      <c r="G12" s="93"/>
      <c r="H12" s="106"/>
      <c r="I12" s="95"/>
      <c r="J12" s="95"/>
      <c r="K12" s="107"/>
      <c r="L12" s="95"/>
      <c r="M12" s="107"/>
      <c r="N12" s="95"/>
      <c r="O12" s="108">
        <f>$O$10+7</f>
        <v>46314</v>
      </c>
      <c r="P12" s="109" t="s">
        <v>43</v>
      </c>
      <c r="Q12" s="110">
        <f>$O$12+6</f>
        <v>46320</v>
      </c>
      <c r="R12" s="111">
        <f>SUM(H12:N12)+SUM(H13:N13)</f>
        <v>0</v>
      </c>
      <c r="T12" s="89"/>
      <c r="U12" s="90"/>
      <c r="V12" s="20"/>
      <c r="W12" s="21"/>
      <c r="X12" s="21"/>
      <c r="Y12" s="16"/>
      <c r="Z12" s="22"/>
      <c r="AA12" s="22"/>
      <c r="AB12" s="12"/>
      <c r="AC12" s="12"/>
    </row>
    <row r="13" ht="29.25" customHeight="1">
      <c r="B13" s="91"/>
      <c r="D13" s="81"/>
      <c r="E13" s="113"/>
      <c r="F13" s="113"/>
      <c r="G13" s="114"/>
      <c r="H13" s="115"/>
      <c r="I13" s="116"/>
      <c r="J13" s="116"/>
      <c r="K13" s="116"/>
      <c r="L13" s="116"/>
      <c r="M13" s="116"/>
      <c r="N13" s="118"/>
      <c r="O13" s="120"/>
      <c r="P13" s="120"/>
      <c r="Q13" s="122"/>
      <c r="R13" s="123"/>
      <c r="T13" s="89"/>
      <c r="U13" s="90"/>
      <c r="V13" s="20"/>
      <c r="W13" s="21"/>
      <c r="X13" s="21"/>
      <c r="Y13" s="16"/>
      <c r="Z13" s="22"/>
      <c r="AA13" s="22"/>
      <c r="AB13" s="12"/>
      <c r="AC13" s="12"/>
    </row>
    <row r="14" ht="29.25" customHeight="1">
      <c r="B14" s="126">
        <f>B8+7</f>
        <v>46307</v>
      </c>
      <c r="C14" s="127" t="s">
        <v>43</v>
      </c>
      <c r="D14" s="128">
        <f>B14+6</f>
        <v>46313</v>
      </c>
      <c r="E14" s="129" t="s">
        <v>53</v>
      </c>
      <c r="G14" s="130"/>
      <c r="H14" s="131"/>
      <c r="I14" s="132"/>
      <c r="J14" s="132"/>
      <c r="K14" s="132"/>
      <c r="L14" s="132"/>
      <c r="M14" s="132"/>
      <c r="N14" s="132"/>
      <c r="O14" s="135">
        <f>$O$12+7</f>
        <v>46321</v>
      </c>
      <c r="P14" s="136" t="s">
        <v>43</v>
      </c>
      <c r="Q14" s="138">
        <f>$O$14+6</f>
        <v>46327</v>
      </c>
      <c r="R14" s="145">
        <f>SUM(H14:N14)+SUM(H15:N15)</f>
        <v>0</v>
      </c>
      <c r="S14" s="146" t="s">
        <v>61</v>
      </c>
      <c r="T14" s="89"/>
      <c r="U14" s="90"/>
      <c r="V14" s="20"/>
      <c r="W14" s="21"/>
      <c r="X14" s="21"/>
      <c r="Y14" s="16"/>
      <c r="Z14" s="22"/>
      <c r="AA14" s="22"/>
      <c r="AB14" s="12"/>
      <c r="AC14" s="12"/>
    </row>
    <row r="15" ht="29.25" customHeight="1">
      <c r="B15" s="147" t="s">
        <v>62</v>
      </c>
      <c r="D15" s="81"/>
      <c r="G15" s="148"/>
      <c r="H15" s="142"/>
      <c r="I15" s="143"/>
      <c r="J15" s="143"/>
      <c r="K15" s="143"/>
      <c r="L15" s="143"/>
      <c r="M15" s="143"/>
      <c r="N15" s="143"/>
      <c r="O15" s="149"/>
      <c r="P15" s="149"/>
      <c r="Q15" s="150"/>
      <c r="R15" s="151"/>
      <c r="T15" s="89"/>
      <c r="U15" s="90"/>
      <c r="V15" s="20"/>
      <c r="W15" s="21"/>
      <c r="X15" s="21"/>
      <c r="Y15" s="16"/>
      <c r="Z15" s="22"/>
      <c r="AA15" s="22"/>
      <c r="AB15" s="12"/>
      <c r="AC15" s="12"/>
    </row>
    <row r="16" ht="29.25" customHeight="1">
      <c r="B16" s="91" t="s">
        <v>63</v>
      </c>
      <c r="D16" s="92"/>
      <c r="G16" s="130"/>
      <c r="H16" s="142"/>
      <c r="I16" s="143"/>
      <c r="J16" s="143"/>
      <c r="K16" s="143"/>
      <c r="L16" s="143"/>
      <c r="M16" s="143"/>
      <c r="N16" s="143"/>
      <c r="O16" s="152">
        <f>$O$14+7</f>
        <v>46328</v>
      </c>
      <c r="P16" s="153" t="s">
        <v>43</v>
      </c>
      <c r="Q16" s="154">
        <f>$O$16+6</f>
        <v>46334</v>
      </c>
      <c r="R16" s="145">
        <f>SUM(H16:N16)+SUM(H17:N17)</f>
        <v>0</v>
      </c>
      <c r="T16" s="89"/>
      <c r="U16" s="90"/>
      <c r="V16" s="20"/>
      <c r="W16" s="21"/>
      <c r="X16" s="21"/>
      <c r="Y16" s="16"/>
      <c r="Z16" s="22"/>
      <c r="AA16" s="22"/>
      <c r="AB16" s="12"/>
      <c r="AC16" s="12"/>
    </row>
    <row r="17" ht="29.25" customHeight="1">
      <c r="B17" s="91" t="s">
        <v>65</v>
      </c>
      <c r="D17" s="81"/>
      <c r="G17" s="148"/>
      <c r="H17" s="142"/>
      <c r="I17" s="143"/>
      <c r="J17" s="143"/>
      <c r="K17" s="143"/>
      <c r="L17" s="143"/>
      <c r="M17" s="143"/>
      <c r="N17" s="143"/>
      <c r="O17" s="157"/>
      <c r="P17" s="157"/>
      <c r="Q17" s="159"/>
      <c r="R17" s="151"/>
      <c r="T17" s="89"/>
      <c r="U17" s="90"/>
      <c r="V17" s="20"/>
      <c r="W17" s="21"/>
      <c r="X17" s="21"/>
      <c r="Y17" s="16"/>
      <c r="Z17" s="22"/>
      <c r="AA17" s="22"/>
      <c r="AB17" s="12"/>
      <c r="AC17" s="12"/>
    </row>
    <row r="18" ht="29.25" customHeight="1">
      <c r="B18" s="91"/>
      <c r="D18" s="92"/>
      <c r="G18" s="130"/>
      <c r="H18" s="142"/>
      <c r="I18" s="143"/>
      <c r="J18" s="143"/>
      <c r="K18" s="143"/>
      <c r="L18" s="143"/>
      <c r="M18" s="143"/>
      <c r="N18" s="143"/>
      <c r="O18" s="135">
        <f>$O$16+7</f>
        <v>46335</v>
      </c>
      <c r="P18" s="136" t="s">
        <v>43</v>
      </c>
      <c r="Q18" s="138">
        <f>$O$18+6</f>
        <v>46341</v>
      </c>
      <c r="R18" s="145">
        <f>SUM(H18:N18)+SUM(H19:N19)</f>
        <v>0</v>
      </c>
      <c r="T18" s="89"/>
      <c r="U18" s="90"/>
      <c r="V18" s="20"/>
      <c r="W18" s="21"/>
      <c r="X18" s="21"/>
      <c r="Y18" s="16"/>
      <c r="Z18" s="22"/>
      <c r="AA18" s="22"/>
      <c r="AB18" s="12"/>
      <c r="AC18" s="12"/>
    </row>
    <row r="19" ht="29.25" customHeight="1">
      <c r="B19" s="91"/>
      <c r="D19" s="81"/>
      <c r="E19" s="166"/>
      <c r="F19" s="166"/>
      <c r="G19" s="167"/>
      <c r="H19" s="142"/>
      <c r="I19" s="143"/>
      <c r="J19" s="143"/>
      <c r="K19" s="143"/>
      <c r="L19" s="143"/>
      <c r="M19" s="143"/>
      <c r="N19" s="143"/>
      <c r="O19" s="149"/>
      <c r="P19" s="149"/>
      <c r="Q19" s="150"/>
      <c r="R19" s="151"/>
      <c r="T19" s="89"/>
      <c r="U19" s="90"/>
      <c r="V19" s="20"/>
      <c r="W19" s="21"/>
      <c r="X19" s="21"/>
      <c r="Y19" s="16"/>
      <c r="Z19" s="22"/>
      <c r="AA19" s="22"/>
      <c r="AB19" s="12"/>
      <c r="AC19" s="12"/>
    </row>
    <row r="20" ht="29.25" customHeight="1">
      <c r="B20" s="126">
        <f>B14+7</f>
        <v>46314</v>
      </c>
      <c r="C20" s="127" t="s">
        <v>43</v>
      </c>
      <c r="D20" s="128">
        <f>B20+6</f>
        <v>46320</v>
      </c>
      <c r="E20" s="129" t="s">
        <v>67</v>
      </c>
      <c r="G20" s="174"/>
      <c r="H20" s="142"/>
      <c r="I20" s="143"/>
      <c r="J20" s="143"/>
      <c r="K20" s="175"/>
      <c r="L20" s="175"/>
      <c r="M20" s="175"/>
      <c r="N20" s="175"/>
      <c r="O20" s="152">
        <f>$O$18+7</f>
        <v>46342</v>
      </c>
      <c r="P20" s="153" t="s">
        <v>43</v>
      </c>
      <c r="Q20" s="154">
        <f>$O$20+6</f>
        <v>46348</v>
      </c>
      <c r="R20" s="145">
        <f>SUM(H20:N20)+sum(H21:N21)</f>
        <v>0</v>
      </c>
      <c r="T20" s="89"/>
      <c r="U20" s="90"/>
      <c r="V20" s="20"/>
      <c r="W20" s="21"/>
      <c r="X20" s="21"/>
      <c r="Y20" s="16"/>
      <c r="Z20" s="22"/>
      <c r="AA20" s="22"/>
      <c r="AB20" s="12"/>
      <c r="AC20" s="12"/>
    </row>
    <row r="21" ht="29.25" customHeight="1">
      <c r="B21" s="177" t="s">
        <v>68</v>
      </c>
      <c r="D21" s="81"/>
      <c r="G21" s="178"/>
      <c r="H21" s="142"/>
      <c r="I21" s="143"/>
      <c r="J21" s="143"/>
      <c r="K21" s="175"/>
      <c r="L21" s="175"/>
      <c r="M21" s="175"/>
      <c r="N21" s="143"/>
      <c r="O21" s="157"/>
      <c r="P21" s="157"/>
      <c r="Q21" s="159"/>
      <c r="R21" s="151"/>
      <c r="T21" s="89"/>
      <c r="U21" s="90"/>
      <c r="V21" s="20"/>
      <c r="W21" s="21"/>
      <c r="X21" s="21"/>
      <c r="Y21" s="16"/>
      <c r="Z21" s="22"/>
      <c r="AA21" s="22"/>
      <c r="AB21" s="12"/>
      <c r="AC21" s="12"/>
    </row>
    <row r="22" ht="29.25" customHeight="1">
      <c r="B22" s="91" t="s">
        <v>69</v>
      </c>
      <c r="D22" s="92"/>
      <c r="G22" s="174"/>
      <c r="H22" s="181"/>
      <c r="I22" s="143"/>
      <c r="J22" s="175"/>
      <c r="K22" s="175"/>
      <c r="L22" s="175"/>
      <c r="M22" s="175"/>
      <c r="N22" s="175"/>
      <c r="O22" s="135">
        <f>$O$20+7</f>
        <v>46349</v>
      </c>
      <c r="P22" s="136" t="s">
        <v>43</v>
      </c>
      <c r="Q22" s="138">
        <f>$O$22+6</f>
        <v>46355</v>
      </c>
      <c r="R22" s="145">
        <f>SUM(H22:N22)+SUM(H23:N23)</f>
        <v>0</v>
      </c>
      <c r="T22" s="89"/>
      <c r="U22" s="90"/>
      <c r="V22" s="20"/>
      <c r="W22" s="21"/>
      <c r="X22" s="21"/>
      <c r="Y22" s="16"/>
      <c r="Z22" s="22"/>
      <c r="AA22" s="22"/>
      <c r="AB22" s="12"/>
      <c r="AC22" s="12"/>
    </row>
    <row r="23" ht="29.25" customHeight="1">
      <c r="B23" s="91" t="s">
        <v>70</v>
      </c>
      <c r="D23" s="81"/>
      <c r="G23" s="178"/>
      <c r="H23" s="181"/>
      <c r="I23" s="175"/>
      <c r="J23" s="175"/>
      <c r="K23" s="175"/>
      <c r="L23" s="175"/>
      <c r="M23" s="175"/>
      <c r="N23" s="175"/>
      <c r="O23" s="149"/>
      <c r="P23" s="149"/>
      <c r="Q23" s="150"/>
      <c r="R23" s="151"/>
      <c r="T23" s="89"/>
      <c r="U23" s="90"/>
      <c r="V23" s="20"/>
      <c r="W23" s="21"/>
      <c r="X23" s="21"/>
      <c r="Y23" s="16"/>
      <c r="Z23" s="22"/>
      <c r="AA23" s="22"/>
      <c r="AB23" s="12"/>
      <c r="AC23" s="12"/>
    </row>
    <row r="24" ht="29.25" customHeight="1">
      <c r="B24" s="91" t="s">
        <v>71</v>
      </c>
      <c r="D24" s="92"/>
      <c r="G24" s="174"/>
      <c r="H24" s="181"/>
      <c r="I24" s="175"/>
      <c r="J24" s="175"/>
      <c r="K24" s="143"/>
      <c r="L24" s="175"/>
      <c r="M24" s="175"/>
      <c r="N24" s="189"/>
      <c r="O24" s="152">
        <f>$O$22+7</f>
        <v>46356</v>
      </c>
      <c r="P24" s="153" t="s">
        <v>43</v>
      </c>
      <c r="Q24" s="154">
        <f>$O$24+6</f>
        <v>46362</v>
      </c>
      <c r="R24" s="145">
        <f>SUM(H24:N24)+SUM(H25:N25)</f>
        <v>0</v>
      </c>
      <c r="S24" s="190" t="s">
        <v>66</v>
      </c>
      <c r="T24" s="89"/>
      <c r="U24" s="90"/>
      <c r="V24" s="20"/>
      <c r="W24" s="21"/>
      <c r="X24" s="21"/>
      <c r="Y24" s="16"/>
      <c r="Z24" s="22"/>
      <c r="AA24" s="22"/>
      <c r="AB24" s="12"/>
      <c r="AC24" s="12"/>
    </row>
    <row r="25" ht="29.25" customHeight="1">
      <c r="B25" s="191"/>
      <c r="C25" s="192"/>
      <c r="D25" s="193"/>
      <c r="E25" s="192"/>
      <c r="F25" s="192"/>
      <c r="G25" s="194"/>
      <c r="H25" s="195"/>
      <c r="I25" s="196"/>
      <c r="J25" s="196"/>
      <c r="K25" s="197"/>
      <c r="L25" s="196"/>
      <c r="M25" s="196"/>
      <c r="N25" s="198"/>
      <c r="O25" s="199"/>
      <c r="P25" s="199"/>
      <c r="Q25" s="200"/>
      <c r="R25" s="201"/>
      <c r="S25" s="202"/>
      <c r="T25" s="203"/>
      <c r="U25" s="204"/>
      <c r="V25" s="20"/>
      <c r="W25" s="21"/>
      <c r="X25" s="21"/>
      <c r="Y25" s="16"/>
      <c r="Z25" s="22"/>
      <c r="AA25" s="22"/>
      <c r="AB25" s="12"/>
      <c r="AC25" s="12"/>
    </row>
    <row r="26">
      <c r="A26" s="205"/>
      <c r="B26" s="206"/>
      <c r="C26" s="207"/>
      <c r="D26" s="46"/>
      <c r="E26" s="46"/>
      <c r="F26" s="46"/>
      <c r="G26" s="46"/>
      <c r="H26" s="206"/>
      <c r="I26" s="206"/>
      <c r="J26" s="206"/>
      <c r="K26" s="206"/>
      <c r="L26" s="206"/>
      <c r="M26" s="206"/>
      <c r="N26" s="206"/>
      <c r="O26" s="206"/>
      <c r="P26" s="206"/>
      <c r="Q26" s="206"/>
      <c r="R26" s="209"/>
      <c r="S26" s="206"/>
      <c r="T26" s="46"/>
      <c r="U26" s="46"/>
      <c r="V26" s="21"/>
      <c r="W26" s="21"/>
      <c r="X26" s="21"/>
      <c r="Y26" s="16"/>
      <c r="Z26" s="22"/>
      <c r="AA26" s="22"/>
      <c r="AB26" s="12"/>
      <c r="AC26" s="12"/>
    </row>
    <row r="27">
      <c r="A27" s="205"/>
      <c r="B27" s="205"/>
      <c r="C27" s="212"/>
      <c r="D27" s="21"/>
      <c r="E27" s="21"/>
      <c r="F27" s="21"/>
      <c r="G27" s="21"/>
      <c r="H27" s="205"/>
      <c r="I27" s="205"/>
      <c r="J27" s="205"/>
      <c r="K27" s="205"/>
      <c r="L27" s="205"/>
      <c r="M27" s="205"/>
      <c r="N27" s="205"/>
      <c r="O27" s="205"/>
      <c r="P27" s="205"/>
      <c r="Q27" s="205"/>
      <c r="R27" s="213" t="s">
        <v>72</v>
      </c>
      <c r="S27" s="205"/>
      <c r="T27" s="21"/>
      <c r="U27" s="21"/>
      <c r="V27" s="21"/>
      <c r="W27" s="21"/>
      <c r="X27" s="21"/>
      <c r="Y27" s="21"/>
      <c r="Z27" s="46"/>
      <c r="AA27" s="46"/>
      <c r="AB27" s="12"/>
      <c r="AC27" s="12"/>
    </row>
    <row r="28">
      <c r="A28" s="205"/>
      <c r="B28" s="205"/>
      <c r="C28" s="205"/>
      <c r="D28" s="21"/>
      <c r="E28" s="21"/>
      <c r="F28" s="21"/>
      <c r="G28" s="21"/>
      <c r="H28" s="205"/>
      <c r="I28" s="205"/>
      <c r="J28" s="205"/>
      <c r="K28" s="205"/>
      <c r="L28" s="205"/>
      <c r="M28" s="205"/>
      <c r="N28" s="205"/>
      <c r="O28" s="205"/>
      <c r="P28" s="205"/>
      <c r="Q28" s="205"/>
      <c r="R28" s="214">
        <f>sum(R8:R24)</f>
        <v>36.22</v>
      </c>
      <c r="S28" s="209"/>
      <c r="T28" s="21"/>
      <c r="U28" s="21"/>
      <c r="V28" s="21"/>
      <c r="W28" s="21"/>
      <c r="X28" s="21"/>
      <c r="Y28" s="21"/>
      <c r="Z28" s="21"/>
      <c r="AA28" s="21"/>
      <c r="AB28" s="12"/>
      <c r="AC28" s="12"/>
    </row>
    <row r="29">
      <c r="A29" s="205"/>
      <c r="B29" s="205"/>
      <c r="C29" s="205"/>
      <c r="D29" s="205"/>
      <c r="E29" s="205"/>
      <c r="F29" s="205"/>
      <c r="G29" s="215"/>
      <c r="H29" s="205"/>
      <c r="I29" s="205"/>
      <c r="J29" s="205"/>
      <c r="K29" s="205"/>
      <c r="L29" s="205"/>
      <c r="M29" s="205"/>
      <c r="N29" s="205"/>
      <c r="O29" s="205"/>
      <c r="P29" s="205"/>
      <c r="Q29" s="21"/>
      <c r="R29" s="21"/>
      <c r="S29" s="21"/>
      <c r="T29" s="21"/>
      <c r="U29" s="21"/>
      <c r="V29" s="21"/>
      <c r="W29" s="21"/>
      <c r="X29" s="21"/>
      <c r="Y29" s="21"/>
      <c r="Z29" s="21"/>
      <c r="AA29" s="21"/>
      <c r="AB29" s="12"/>
      <c r="AC29" s="12"/>
    </row>
    <row r="30">
      <c r="A30" s="205"/>
      <c r="B30" s="205"/>
      <c r="C30" s="205"/>
      <c r="D30" s="205"/>
      <c r="E30" s="216"/>
      <c r="F30" s="217"/>
      <c r="G30" s="215"/>
      <c r="H30" s="205"/>
      <c r="I30" s="205"/>
      <c r="J30" s="205"/>
      <c r="K30" s="205"/>
      <c r="L30" s="205"/>
      <c r="M30" s="205"/>
      <c r="N30" s="205"/>
      <c r="O30" s="205"/>
      <c r="P30" s="205"/>
      <c r="Q30" s="21"/>
      <c r="R30" s="21"/>
      <c r="S30" s="21"/>
      <c r="T30" s="21"/>
      <c r="U30" s="21"/>
      <c r="V30" s="21"/>
      <c r="W30" s="21"/>
      <c r="X30" s="21"/>
      <c r="Y30" s="21"/>
      <c r="Z30" s="21"/>
      <c r="AA30" s="21"/>
      <c r="AB30" s="12"/>
      <c r="AC30" s="12"/>
    </row>
    <row r="31">
      <c r="A31" s="205"/>
      <c r="B31" s="205"/>
      <c r="C31" s="205"/>
      <c r="D31" s="205"/>
      <c r="E31" s="218"/>
      <c r="F31" s="217"/>
      <c r="G31" s="215"/>
      <c r="H31" s="205"/>
      <c r="I31" s="205"/>
      <c r="J31" s="205"/>
      <c r="K31" s="205"/>
      <c r="L31" s="205"/>
      <c r="M31" s="205"/>
      <c r="N31" s="205"/>
      <c r="O31" s="205"/>
      <c r="P31" s="205"/>
      <c r="Q31" s="21"/>
      <c r="R31" s="21"/>
      <c r="S31" s="21"/>
      <c r="T31" s="21"/>
      <c r="U31" s="21"/>
      <c r="V31" s="21"/>
      <c r="W31" s="21"/>
      <c r="X31" s="21"/>
      <c r="Y31" s="21"/>
      <c r="Z31" s="21"/>
      <c r="AA31" s="21"/>
      <c r="AB31" s="12"/>
      <c r="AC31" s="12"/>
    </row>
    <row r="32">
      <c r="A32" s="205"/>
      <c r="B32" s="205"/>
      <c r="C32" s="205"/>
      <c r="D32" s="205"/>
      <c r="E32" s="218"/>
      <c r="F32" s="217"/>
      <c r="G32" s="215"/>
      <c r="H32" s="205"/>
      <c r="I32" s="205"/>
      <c r="J32" s="205"/>
      <c r="K32" s="205"/>
      <c r="L32" s="205"/>
      <c r="M32" s="205"/>
      <c r="N32" s="205"/>
      <c r="O32" s="205"/>
      <c r="P32" s="205"/>
      <c r="Q32" s="21"/>
      <c r="R32" s="21"/>
      <c r="S32" s="21"/>
      <c r="T32" s="21"/>
      <c r="U32" s="21"/>
      <c r="V32" s="21"/>
      <c r="W32" s="21"/>
      <c r="X32" s="21"/>
      <c r="Y32" s="21"/>
      <c r="Z32" s="21"/>
      <c r="AA32" s="21"/>
      <c r="AB32" s="12"/>
      <c r="AC32" s="12"/>
    </row>
    <row r="33">
      <c r="A33" s="209"/>
      <c r="B33" s="209"/>
      <c r="C33" s="209"/>
      <c r="D33" s="209"/>
      <c r="E33" s="219"/>
      <c r="F33" s="209"/>
      <c r="G33" s="209"/>
      <c r="H33" s="209"/>
      <c r="I33" s="209"/>
      <c r="J33" s="209"/>
      <c r="K33" s="209"/>
      <c r="L33" s="209"/>
      <c r="M33" s="209"/>
      <c r="N33" s="209"/>
      <c r="O33" s="209"/>
      <c r="P33" s="209"/>
      <c r="Q33" s="21"/>
      <c r="R33" s="21"/>
      <c r="S33" s="21"/>
      <c r="T33" s="21"/>
      <c r="U33" s="21"/>
      <c r="V33" s="21"/>
      <c r="W33" s="21"/>
      <c r="X33" s="21"/>
      <c r="Y33" s="21"/>
      <c r="Z33" s="21"/>
      <c r="AA33" s="21"/>
      <c r="AB33" s="12"/>
      <c r="AC33" s="12"/>
    </row>
    <row r="34">
      <c r="A34" s="12"/>
      <c r="B34" s="12"/>
      <c r="C34" s="12"/>
      <c r="D34" s="12"/>
      <c r="E34" s="12"/>
      <c r="F34" s="12"/>
      <c r="G34" s="12"/>
      <c r="H34" s="209"/>
      <c r="I34" s="209"/>
      <c r="J34" s="209"/>
      <c r="K34" s="209"/>
      <c r="L34" s="209"/>
      <c r="M34" s="209"/>
      <c r="N34" s="209"/>
      <c r="O34" s="209"/>
      <c r="P34" s="209"/>
      <c r="Q34" s="21"/>
      <c r="R34" s="21"/>
      <c r="S34" s="21"/>
      <c r="T34" s="21"/>
      <c r="U34" s="21"/>
      <c r="V34" s="21"/>
      <c r="W34" s="21"/>
      <c r="X34" s="21"/>
      <c r="Y34" s="21"/>
      <c r="Z34" s="21"/>
      <c r="AA34" s="21"/>
      <c r="AB34" s="12"/>
      <c r="AC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row>
  </sheetData>
  <mergeCells count="63">
    <mergeCell ref="O2:U2"/>
    <mergeCell ref="P3:U3"/>
    <mergeCell ref="B4:C4"/>
    <mergeCell ref="D4:E4"/>
    <mergeCell ref="H4:J4"/>
    <mergeCell ref="K4:L4"/>
    <mergeCell ref="H3:J3"/>
    <mergeCell ref="G5:H5"/>
    <mergeCell ref="J5:K5"/>
    <mergeCell ref="B6:M6"/>
    <mergeCell ref="B7:D7"/>
    <mergeCell ref="E7:G7"/>
    <mergeCell ref="O7:Q7"/>
    <mergeCell ref="T7:U7"/>
    <mergeCell ref="P4:U4"/>
    <mergeCell ref="S8:S13"/>
    <mergeCell ref="T8:U8"/>
    <mergeCell ref="T9:U9"/>
    <mergeCell ref="T10:U10"/>
    <mergeCell ref="T11:U11"/>
    <mergeCell ref="T12:U12"/>
    <mergeCell ref="T13:U13"/>
    <mergeCell ref="B13:D13"/>
    <mergeCell ref="B21:D21"/>
    <mergeCell ref="T21:U21"/>
    <mergeCell ref="B22:D22"/>
    <mergeCell ref="T22:U22"/>
    <mergeCell ref="T20:U20"/>
    <mergeCell ref="T23:U23"/>
    <mergeCell ref="B24:D24"/>
    <mergeCell ref="S24:S25"/>
    <mergeCell ref="B25:D25"/>
    <mergeCell ref="T24:U24"/>
    <mergeCell ref="T25:U25"/>
    <mergeCell ref="A1:A25"/>
    <mergeCell ref="B1:V1"/>
    <mergeCell ref="B2:M2"/>
    <mergeCell ref="B3:C3"/>
    <mergeCell ref="D3:E3"/>
    <mergeCell ref="K3:L3"/>
    <mergeCell ref="B23:D23"/>
    <mergeCell ref="B9:D9"/>
    <mergeCell ref="B10:D10"/>
    <mergeCell ref="B11:D11"/>
    <mergeCell ref="B12:D12"/>
    <mergeCell ref="E8:G13"/>
    <mergeCell ref="E14:G19"/>
    <mergeCell ref="S14:S23"/>
    <mergeCell ref="T14:U14"/>
    <mergeCell ref="T15:U15"/>
    <mergeCell ref="T16:U16"/>
    <mergeCell ref="T17:U17"/>
    <mergeCell ref="T18:U18"/>
    <mergeCell ref="T19:U19"/>
    <mergeCell ref="B15:D15"/>
    <mergeCell ref="B16:D16"/>
    <mergeCell ref="B17:D17"/>
    <mergeCell ref="B18:D18"/>
    <mergeCell ref="B19:D19"/>
    <mergeCell ref="E20:G25"/>
    <mergeCell ref="E30:F30"/>
    <mergeCell ref="E31:F31"/>
    <mergeCell ref="E32:F32"/>
  </mergeCell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1" max="1" width="1.38"/>
    <col customWidth="1" min="2" max="2" width="11.13"/>
    <col customWidth="1" min="3" max="3" width="11.88"/>
    <col customWidth="1" min="4" max="4" width="9.75"/>
    <col customWidth="1" min="5" max="5" width="17.13"/>
    <col customWidth="1" min="6" max="6" width="20.5"/>
    <col customWidth="1" min="7" max="7" width="17.13"/>
    <col customWidth="1" min="8" max="14" width="9.5"/>
    <col customWidth="1" min="15" max="15" width="5.13"/>
    <col customWidth="1" min="16" max="16" width="6.0"/>
    <col customWidth="1" min="17" max="17" width="5.25"/>
    <col customWidth="1" min="19" max="19" width="14.88"/>
  </cols>
  <sheetData>
    <row r="1" ht="9.0" customHeight="1" outlineLevel="1">
      <c r="A1" s="8"/>
      <c r="B1" s="9"/>
      <c r="C1" s="10"/>
      <c r="D1" s="10"/>
      <c r="E1" s="10"/>
      <c r="F1" s="10"/>
      <c r="G1" s="10"/>
      <c r="H1" s="10"/>
      <c r="I1" s="10"/>
      <c r="J1" s="10"/>
      <c r="K1" s="10"/>
      <c r="L1" s="10"/>
      <c r="M1" s="10"/>
      <c r="N1" s="10"/>
      <c r="O1" s="10"/>
      <c r="P1" s="10"/>
      <c r="Q1" s="10"/>
      <c r="R1" s="10"/>
      <c r="S1" s="10"/>
      <c r="T1" s="10"/>
      <c r="U1" s="10"/>
      <c r="V1" s="10"/>
      <c r="W1" s="12"/>
      <c r="X1" s="12"/>
      <c r="Y1" s="12"/>
      <c r="Z1" s="12"/>
      <c r="AA1" s="12"/>
      <c r="AB1" s="12"/>
      <c r="AC1" s="12"/>
    </row>
    <row r="2" ht="30.0" customHeight="1" outlineLevel="1">
      <c r="B2" s="13" t="s">
        <v>13</v>
      </c>
      <c r="C2" s="14"/>
      <c r="D2" s="14"/>
      <c r="E2" s="14"/>
      <c r="F2" s="14"/>
      <c r="G2" s="14"/>
      <c r="H2" s="14"/>
      <c r="I2" s="14"/>
      <c r="J2" s="14"/>
      <c r="K2" s="14"/>
      <c r="L2" s="14"/>
      <c r="M2" s="15"/>
      <c r="N2" s="16"/>
      <c r="O2" s="17" t="s">
        <v>14</v>
      </c>
      <c r="P2" s="18"/>
      <c r="Q2" s="18"/>
      <c r="R2" s="18"/>
      <c r="S2" s="18"/>
      <c r="T2" s="18"/>
      <c r="U2" s="19"/>
      <c r="V2" s="20"/>
      <c r="W2" s="21"/>
      <c r="X2" s="16"/>
      <c r="Y2" s="22"/>
      <c r="Z2" s="22"/>
      <c r="AA2" s="12"/>
      <c r="AB2" s="12"/>
    </row>
    <row r="3" ht="76.5" customHeight="1" outlineLevel="1">
      <c r="B3" s="23" t="s">
        <v>15</v>
      </c>
      <c r="C3" s="24"/>
      <c r="D3" s="25" t="s">
        <v>16</v>
      </c>
      <c r="E3" s="24"/>
      <c r="F3" s="26" t="s">
        <v>17</v>
      </c>
      <c r="G3" s="27" t="s">
        <v>18</v>
      </c>
      <c r="H3" s="28" t="s">
        <v>19</v>
      </c>
      <c r="I3" s="29"/>
      <c r="J3" s="24"/>
      <c r="K3" s="28" t="s">
        <v>20</v>
      </c>
      <c r="L3" s="24"/>
      <c r="M3" s="30" t="s">
        <v>21</v>
      </c>
      <c r="N3" s="31"/>
      <c r="O3" s="32">
        <v>1.0</v>
      </c>
      <c r="P3" s="33" t="s">
        <v>22</v>
      </c>
      <c r="Q3" s="18"/>
      <c r="R3" s="18"/>
      <c r="S3" s="18"/>
      <c r="T3" s="18"/>
      <c r="U3" s="19"/>
      <c r="V3" s="20"/>
      <c r="W3" s="21"/>
      <c r="X3" s="16"/>
      <c r="Y3" s="22"/>
      <c r="Z3" s="22"/>
      <c r="AA3" s="12"/>
      <c r="AB3" s="12"/>
    </row>
    <row r="4" ht="27.75" customHeight="1" outlineLevel="1">
      <c r="B4" s="34" t="str">
        <f>'okt - des 26'!B4</f>
        <v>7:00-9:00</v>
      </c>
      <c r="C4" s="24"/>
      <c r="D4" s="34" t="str">
        <f>'okt - des 26'!D4</f>
        <v>6:10-6:20</v>
      </c>
      <c r="E4" s="24"/>
      <c r="F4" s="35" t="str">
        <f>'okt - des 26'!F4</f>
        <v>5:15-5:23</v>
      </c>
      <c r="G4" s="36" t="str">
        <f>'okt - des 26'!G4</f>
        <v>5:00-5:08</v>
      </c>
      <c r="H4" s="37" t="str">
        <f>'okt - des 26'!H4</f>
        <v>4:49-4:58</v>
      </c>
      <c r="I4" s="29"/>
      <c r="J4" s="24"/>
      <c r="K4" s="37"/>
      <c r="L4" s="24"/>
      <c r="M4" s="38"/>
      <c r="N4" s="31"/>
      <c r="O4" s="32">
        <v>2.0</v>
      </c>
      <c r="P4" s="33" t="s">
        <v>29</v>
      </c>
      <c r="Q4" s="18"/>
      <c r="R4" s="18"/>
      <c r="S4" s="18"/>
      <c r="T4" s="18"/>
      <c r="U4" s="19"/>
      <c r="V4" s="20"/>
      <c r="W4" s="21"/>
      <c r="X4" s="16"/>
      <c r="Y4" s="22"/>
      <c r="Z4" s="22"/>
      <c r="AA4" s="12"/>
      <c r="AB4" s="12"/>
    </row>
    <row r="5" ht="27.75" customHeight="1" outlineLevel="1">
      <c r="B5" s="39"/>
      <c r="C5" s="39"/>
      <c r="D5" s="39"/>
      <c r="E5" s="40"/>
      <c r="F5" s="40"/>
      <c r="G5" s="41"/>
      <c r="H5" s="42"/>
      <c r="I5" s="43"/>
      <c r="J5" s="44"/>
      <c r="K5" s="42"/>
      <c r="L5" s="40"/>
      <c r="M5" s="40"/>
      <c r="N5" s="45"/>
      <c r="O5" s="21"/>
      <c r="P5" s="46"/>
      <c r="Q5" s="46"/>
      <c r="R5" s="48"/>
      <c r="S5" s="46"/>
      <c r="T5" s="47"/>
      <c r="U5" s="49"/>
      <c r="V5" s="22"/>
      <c r="W5" s="21"/>
      <c r="X5" s="16"/>
      <c r="Y5" s="22"/>
      <c r="Z5" s="22"/>
      <c r="AA5" s="12"/>
      <c r="AB5" s="12"/>
    </row>
    <row r="6" ht="7.5" customHeight="1">
      <c r="B6" s="50"/>
      <c r="C6" s="51"/>
      <c r="D6" s="51"/>
      <c r="E6" s="51"/>
      <c r="F6" s="51"/>
      <c r="G6" s="51"/>
      <c r="H6" s="51"/>
      <c r="I6" s="51"/>
      <c r="J6" s="51"/>
      <c r="K6" s="51"/>
      <c r="L6" s="51"/>
      <c r="M6" s="52"/>
      <c r="N6" s="53"/>
      <c r="O6" s="54"/>
      <c r="P6" s="55"/>
      <c r="Q6" s="55"/>
      <c r="R6" s="55"/>
      <c r="S6" s="55"/>
      <c r="T6" s="55"/>
      <c r="U6" s="46"/>
      <c r="V6" s="46"/>
      <c r="W6" s="21"/>
      <c r="X6" s="21"/>
      <c r="Y6" s="16"/>
      <c r="Z6" s="22"/>
      <c r="AA6" s="22"/>
      <c r="AB6" s="12"/>
      <c r="AC6" s="12"/>
    </row>
    <row r="7" ht="27.75" customHeight="1">
      <c r="B7" s="56" t="s">
        <v>30</v>
      </c>
      <c r="C7" s="57"/>
      <c r="D7" s="58"/>
      <c r="E7" s="59" t="s">
        <v>31</v>
      </c>
      <c r="F7" s="57"/>
      <c r="G7" s="58"/>
      <c r="H7" s="60" t="s">
        <v>32</v>
      </c>
      <c r="I7" s="61" t="s">
        <v>33</v>
      </c>
      <c r="J7" s="61" t="s">
        <v>34</v>
      </c>
      <c r="K7" s="61" t="s">
        <v>35</v>
      </c>
      <c r="L7" s="61" t="s">
        <v>36</v>
      </c>
      <c r="M7" s="61" t="s">
        <v>37</v>
      </c>
      <c r="N7" s="61" t="s">
        <v>38</v>
      </c>
      <c r="O7" s="62" t="s">
        <v>39</v>
      </c>
      <c r="P7" s="57"/>
      <c r="Q7" s="58"/>
      <c r="R7" s="63" t="s">
        <v>40</v>
      </c>
      <c r="S7" s="64" t="s">
        <v>41</v>
      </c>
      <c r="T7" s="64" t="s">
        <v>42</v>
      </c>
      <c r="U7" s="65"/>
      <c r="V7" s="66"/>
      <c r="W7" s="67"/>
      <c r="X7" s="21"/>
      <c r="Y7" s="16"/>
      <c r="Z7" s="22"/>
      <c r="AA7" s="22"/>
      <c r="AB7" s="12"/>
      <c r="AC7" s="12"/>
    </row>
    <row r="8" ht="29.25" customHeight="1">
      <c r="B8" s="133">
        <f>O8</f>
        <v>46363</v>
      </c>
      <c r="C8" s="134" t="s">
        <v>43</v>
      </c>
      <c r="D8" s="137">
        <f>B8+6</f>
        <v>46369</v>
      </c>
      <c r="E8" s="139"/>
      <c r="F8" s="140"/>
      <c r="G8" s="141"/>
      <c r="H8" s="142"/>
      <c r="I8" s="143"/>
      <c r="J8" s="143"/>
      <c r="K8" s="143"/>
      <c r="L8" s="143"/>
      <c r="M8" s="143"/>
      <c r="N8" s="143"/>
      <c r="O8" s="156">
        <f>1+'okt - des 26'!Q24</f>
        <v>46363</v>
      </c>
      <c r="P8" s="134" t="s">
        <v>43</v>
      </c>
      <c r="Q8" s="137">
        <f>O8+6</f>
        <v>46369</v>
      </c>
      <c r="R8" s="160">
        <f>SUM(H8:N8)+SUM(H9:N9)</f>
        <v>0</v>
      </c>
      <c r="S8" s="161" t="s">
        <v>66</v>
      </c>
      <c r="T8" s="78"/>
      <c r="U8" s="79"/>
      <c r="V8" s="20"/>
      <c r="W8" s="21"/>
      <c r="X8" s="21"/>
      <c r="Y8" s="16"/>
      <c r="Z8" s="22"/>
      <c r="AA8" s="22"/>
      <c r="AB8" s="12"/>
      <c r="AC8" s="12"/>
    </row>
    <row r="9" ht="29.25" customHeight="1">
      <c r="B9" s="91"/>
      <c r="D9" s="81"/>
      <c r="E9" s="163"/>
      <c r="G9" s="81"/>
      <c r="H9" s="142"/>
      <c r="I9" s="143"/>
      <c r="J9" s="143"/>
      <c r="K9" s="143"/>
      <c r="L9" s="143"/>
      <c r="M9" s="143"/>
      <c r="N9" s="143"/>
      <c r="O9" s="164"/>
      <c r="P9" s="157"/>
      <c r="Q9" s="159"/>
      <c r="R9" s="165"/>
      <c r="T9" s="89"/>
      <c r="U9" s="90"/>
      <c r="V9" s="20"/>
      <c r="W9" s="21"/>
      <c r="X9" s="21"/>
      <c r="Y9" s="16"/>
      <c r="Z9" s="22"/>
      <c r="AA9" s="22"/>
      <c r="AB9" s="12"/>
      <c r="AC9" s="12"/>
    </row>
    <row r="10" ht="29.25" customHeight="1">
      <c r="B10" s="91"/>
      <c r="D10" s="92"/>
      <c r="E10" s="168"/>
      <c r="G10" s="92"/>
      <c r="H10" s="142"/>
      <c r="I10" s="143"/>
      <c r="J10" s="143"/>
      <c r="K10" s="143"/>
      <c r="L10" s="143"/>
      <c r="M10" s="143"/>
      <c r="N10" s="143"/>
      <c r="O10" s="169">
        <f>$O$8+7</f>
        <v>46370</v>
      </c>
      <c r="P10" s="170" t="s">
        <v>43</v>
      </c>
      <c r="Q10" s="171">
        <f>$O$10+6</f>
        <v>46376</v>
      </c>
      <c r="R10" s="172">
        <f>SUM(H10:N10)+SUM(H11:N11)</f>
        <v>0</v>
      </c>
      <c r="T10" s="89"/>
      <c r="U10" s="90"/>
      <c r="V10" s="20"/>
      <c r="W10" s="21"/>
      <c r="X10" s="21"/>
      <c r="Y10" s="16"/>
      <c r="Z10" s="22"/>
      <c r="AA10" s="22"/>
      <c r="AB10" s="12"/>
      <c r="AC10" s="12"/>
    </row>
    <row r="11" ht="29.25" customHeight="1">
      <c r="B11" s="91"/>
      <c r="D11" s="81"/>
      <c r="E11" s="163"/>
      <c r="G11" s="81"/>
      <c r="H11" s="142"/>
      <c r="I11" s="143"/>
      <c r="J11" s="143"/>
      <c r="K11" s="143"/>
      <c r="L11" s="143"/>
      <c r="M11" s="143"/>
      <c r="N11" s="143"/>
      <c r="O11" s="176"/>
      <c r="P11" s="149"/>
      <c r="Q11" s="150"/>
      <c r="R11" s="151"/>
      <c r="T11" s="89"/>
      <c r="U11" s="90"/>
      <c r="V11" s="20"/>
      <c r="W11" s="21"/>
      <c r="X11" s="21"/>
      <c r="Y11" s="16"/>
      <c r="Z11" s="22"/>
      <c r="AA11" s="22"/>
      <c r="AB11" s="12"/>
      <c r="AC11" s="12"/>
    </row>
    <row r="12" ht="29.25" customHeight="1">
      <c r="B12" s="91"/>
      <c r="D12" s="92"/>
      <c r="E12" s="168"/>
      <c r="G12" s="92"/>
      <c r="H12" s="95"/>
      <c r="I12" s="95"/>
      <c r="J12" s="95"/>
      <c r="K12" s="107"/>
      <c r="L12" s="95"/>
      <c r="M12" s="107"/>
      <c r="N12" s="95"/>
      <c r="O12" s="180">
        <f>$O$10+7</f>
        <v>46377</v>
      </c>
      <c r="P12" s="134" t="s">
        <v>43</v>
      </c>
      <c r="Q12" s="137">
        <f>$O$12+6</f>
        <v>46383</v>
      </c>
      <c r="R12" s="172">
        <f>SUM(H12:N12)+SUM(H13:N13)</f>
        <v>0</v>
      </c>
      <c r="T12" s="89"/>
      <c r="U12" s="90"/>
      <c r="V12" s="20"/>
      <c r="W12" s="21"/>
      <c r="X12" s="21"/>
      <c r="Y12" s="16"/>
      <c r="Z12" s="22"/>
      <c r="AA12" s="22"/>
      <c r="AB12" s="12"/>
      <c r="AC12" s="12"/>
    </row>
    <row r="13" ht="29.25" customHeight="1">
      <c r="B13" s="91"/>
      <c r="D13" s="81"/>
      <c r="E13" s="182"/>
      <c r="F13" s="183"/>
      <c r="G13" s="184"/>
      <c r="H13" s="142"/>
      <c r="I13" s="143"/>
      <c r="J13" s="143"/>
      <c r="K13" s="143"/>
      <c r="L13" s="143"/>
      <c r="M13" s="143"/>
      <c r="N13" s="143"/>
      <c r="O13" s="164"/>
      <c r="P13" s="157"/>
      <c r="Q13" s="159"/>
      <c r="R13" s="151"/>
      <c r="T13" s="89"/>
      <c r="U13" s="90"/>
      <c r="V13" s="20"/>
      <c r="W13" s="21"/>
      <c r="X13" s="21"/>
      <c r="Y13" s="16"/>
      <c r="Z13" s="22"/>
      <c r="AA13" s="22"/>
      <c r="AB13" s="12"/>
      <c r="AC13" s="12"/>
    </row>
    <row r="14" ht="29.25" customHeight="1">
      <c r="B14" s="126">
        <f>B8+7</f>
        <v>46370</v>
      </c>
      <c r="C14" s="127" t="s">
        <v>43</v>
      </c>
      <c r="D14" s="128">
        <f>B14+6</f>
        <v>46376</v>
      </c>
      <c r="E14" s="139"/>
      <c r="F14" s="140"/>
      <c r="G14" s="141"/>
      <c r="H14" s="142"/>
      <c r="I14" s="143"/>
      <c r="J14" s="143"/>
      <c r="K14" s="143"/>
      <c r="L14" s="143"/>
      <c r="M14" s="143"/>
      <c r="N14" s="143"/>
      <c r="O14" s="135">
        <f>$O$12+7</f>
        <v>46384</v>
      </c>
      <c r="P14" s="136" t="s">
        <v>43</v>
      </c>
      <c r="Q14" s="138">
        <f>$O$14+6</f>
        <v>46390</v>
      </c>
      <c r="R14" s="145">
        <f>SUM(H14:N14)+SUM(H15:N15)</f>
        <v>0</v>
      </c>
      <c r="T14" s="89"/>
      <c r="U14" s="90"/>
      <c r="V14" s="20"/>
      <c r="W14" s="21"/>
      <c r="X14" s="21"/>
      <c r="Y14" s="16"/>
      <c r="Z14" s="22"/>
      <c r="AA14" s="22"/>
      <c r="AB14" s="12"/>
      <c r="AC14" s="12"/>
    </row>
    <row r="15" ht="29.25" customHeight="1">
      <c r="B15" s="91"/>
      <c r="D15" s="81"/>
      <c r="E15" s="163"/>
      <c r="G15" s="81"/>
      <c r="H15" s="142"/>
      <c r="I15" s="143"/>
      <c r="J15" s="143"/>
      <c r="K15" s="143"/>
      <c r="L15" s="143"/>
      <c r="M15" s="143"/>
      <c r="N15" s="143"/>
      <c r="O15" s="149"/>
      <c r="P15" s="149"/>
      <c r="Q15" s="150"/>
      <c r="R15" s="151"/>
      <c r="T15" s="89"/>
      <c r="U15" s="90"/>
      <c r="V15" s="20"/>
      <c r="W15" s="21"/>
      <c r="X15" s="21"/>
      <c r="Y15" s="16"/>
      <c r="Z15" s="22"/>
      <c r="AA15" s="22"/>
      <c r="AB15" s="12"/>
      <c r="AC15" s="12"/>
    </row>
    <row r="16" ht="29.25" customHeight="1">
      <c r="B16" s="91"/>
      <c r="D16" s="92"/>
      <c r="E16" s="168"/>
      <c r="G16" s="92"/>
      <c r="H16" s="142"/>
      <c r="I16" s="143"/>
      <c r="J16" s="143"/>
      <c r="K16" s="143"/>
      <c r="L16" s="143"/>
      <c r="M16" s="143"/>
      <c r="N16" s="143"/>
      <c r="O16" s="152">
        <f>$O$14+7</f>
        <v>46391</v>
      </c>
      <c r="P16" s="153" t="s">
        <v>43</v>
      </c>
      <c r="Q16" s="154">
        <f>$O$16+6</f>
        <v>46397</v>
      </c>
      <c r="R16" s="145">
        <f>SUM(H16:N16)+SUM(H17:N17)</f>
        <v>0</v>
      </c>
      <c r="T16" s="89"/>
      <c r="U16" s="90"/>
      <c r="V16" s="20"/>
      <c r="W16" s="21"/>
      <c r="X16" s="21"/>
      <c r="Y16" s="16"/>
      <c r="Z16" s="22"/>
      <c r="AA16" s="22"/>
      <c r="AB16" s="12"/>
      <c r="AC16" s="12"/>
    </row>
    <row r="17" ht="29.25" customHeight="1">
      <c r="B17" s="91"/>
      <c r="D17" s="81"/>
      <c r="E17" s="163"/>
      <c r="G17" s="81"/>
      <c r="H17" s="142"/>
      <c r="I17" s="143"/>
      <c r="J17" s="143"/>
      <c r="K17" s="143"/>
      <c r="L17" s="143"/>
      <c r="M17" s="143"/>
      <c r="N17" s="143"/>
      <c r="O17" s="157"/>
      <c r="P17" s="157"/>
      <c r="Q17" s="159"/>
      <c r="R17" s="151"/>
      <c r="T17" s="89"/>
      <c r="U17" s="90"/>
      <c r="V17" s="20"/>
      <c r="W17" s="21"/>
      <c r="X17" s="21"/>
      <c r="Y17" s="16"/>
      <c r="Z17" s="22"/>
      <c r="AA17" s="22"/>
      <c r="AB17" s="12"/>
      <c r="AC17" s="12"/>
    </row>
    <row r="18" ht="29.25" customHeight="1">
      <c r="B18" s="91"/>
      <c r="D18" s="92"/>
      <c r="E18" s="168"/>
      <c r="G18" s="92"/>
      <c r="H18" s="142"/>
      <c r="I18" s="143"/>
      <c r="J18" s="143"/>
      <c r="K18" s="143"/>
      <c r="L18" s="143"/>
      <c r="M18" s="143"/>
      <c r="N18" s="143"/>
      <c r="O18" s="135">
        <f>$O$16+7</f>
        <v>46398</v>
      </c>
      <c r="P18" s="136" t="s">
        <v>43</v>
      </c>
      <c r="Q18" s="138">
        <f>$O$18+6</f>
        <v>46404</v>
      </c>
      <c r="R18" s="145">
        <f>SUM(H18:N18)+SUM(H19:N19)</f>
        <v>0</v>
      </c>
      <c r="S18" s="188"/>
      <c r="T18" s="89"/>
      <c r="U18" s="90"/>
      <c r="V18" s="20"/>
      <c r="W18" s="21"/>
      <c r="X18" s="21"/>
      <c r="Y18" s="16"/>
      <c r="Z18" s="22"/>
      <c r="AA18" s="22"/>
      <c r="AB18" s="12"/>
      <c r="AC18" s="12"/>
    </row>
    <row r="19" ht="29.25" customHeight="1">
      <c r="B19" s="91"/>
      <c r="D19" s="81"/>
      <c r="E19" s="182"/>
      <c r="F19" s="183"/>
      <c r="G19" s="184"/>
      <c r="H19" s="142"/>
      <c r="I19" s="143"/>
      <c r="J19" s="143"/>
      <c r="K19" s="143"/>
      <c r="L19" s="143"/>
      <c r="M19" s="143"/>
      <c r="N19" s="143"/>
      <c r="O19" s="149"/>
      <c r="P19" s="149"/>
      <c r="Q19" s="150"/>
      <c r="R19" s="151"/>
      <c r="S19" s="188"/>
      <c r="T19" s="89"/>
      <c r="U19" s="90"/>
      <c r="V19" s="20"/>
      <c r="W19" s="21"/>
      <c r="X19" s="21"/>
      <c r="Y19" s="16"/>
      <c r="Z19" s="22"/>
      <c r="AA19" s="22"/>
      <c r="AB19" s="12"/>
      <c r="AC19" s="12"/>
    </row>
    <row r="20" ht="29.25" customHeight="1">
      <c r="B20" s="126">
        <f>B14+7</f>
        <v>46377</v>
      </c>
      <c r="C20" s="127" t="s">
        <v>43</v>
      </c>
      <c r="D20" s="128">
        <f>B20+6</f>
        <v>46383</v>
      </c>
      <c r="E20" s="139"/>
      <c r="F20" s="140"/>
      <c r="G20" s="141"/>
      <c r="H20" s="142"/>
      <c r="I20" s="143"/>
      <c r="J20" s="143"/>
      <c r="K20" s="175"/>
      <c r="L20" s="175"/>
      <c r="M20" s="175"/>
      <c r="N20" s="175"/>
      <c r="O20" s="152">
        <f>$O$18+7</f>
        <v>46405</v>
      </c>
      <c r="P20" s="153" t="s">
        <v>43</v>
      </c>
      <c r="Q20" s="154">
        <f>$O$20+6</f>
        <v>46411</v>
      </c>
      <c r="R20" s="145">
        <f>SUM(H20:N20)+sum(H21:N21)</f>
        <v>0</v>
      </c>
      <c r="S20" s="188"/>
      <c r="T20" s="89"/>
      <c r="U20" s="90"/>
      <c r="V20" s="20"/>
      <c r="W20" s="21"/>
      <c r="X20" s="21"/>
      <c r="Y20" s="16"/>
      <c r="Z20" s="22"/>
      <c r="AA20" s="22"/>
      <c r="AB20" s="12"/>
      <c r="AC20" s="12"/>
    </row>
    <row r="21" ht="29.25" customHeight="1">
      <c r="B21" s="91"/>
      <c r="D21" s="81"/>
      <c r="E21" s="163"/>
      <c r="G21" s="81"/>
      <c r="H21" s="142"/>
      <c r="I21" s="143"/>
      <c r="J21" s="143"/>
      <c r="K21" s="175"/>
      <c r="L21" s="175"/>
      <c r="M21" s="175"/>
      <c r="N21" s="143"/>
      <c r="O21" s="157"/>
      <c r="P21" s="157"/>
      <c r="Q21" s="159"/>
      <c r="R21" s="151"/>
      <c r="S21" s="188"/>
      <c r="T21" s="89"/>
      <c r="U21" s="90"/>
      <c r="V21" s="20"/>
      <c r="W21" s="21"/>
      <c r="X21" s="21"/>
      <c r="Y21" s="16"/>
      <c r="Z21" s="22"/>
      <c r="AA21" s="22"/>
      <c r="AB21" s="12"/>
      <c r="AC21" s="12"/>
    </row>
    <row r="22" ht="29.25" customHeight="1">
      <c r="B22" s="91"/>
      <c r="D22" s="92"/>
      <c r="E22" s="168"/>
      <c r="G22" s="92"/>
      <c r="H22" s="181"/>
      <c r="I22" s="143"/>
      <c r="J22" s="175"/>
      <c r="K22" s="175"/>
      <c r="L22" s="175"/>
      <c r="M22" s="175"/>
      <c r="N22" s="175"/>
      <c r="O22" s="135">
        <f>$O$20+7</f>
        <v>46412</v>
      </c>
      <c r="P22" s="136" t="s">
        <v>43</v>
      </c>
      <c r="Q22" s="138">
        <f>$O$22+6</f>
        <v>46418</v>
      </c>
      <c r="R22" s="145">
        <f>SUM(H22:N22)+SUM(H23:N23)</f>
        <v>0</v>
      </c>
      <c r="S22" s="188"/>
      <c r="T22" s="89"/>
      <c r="U22" s="90"/>
      <c r="V22" s="20"/>
      <c r="W22" s="21"/>
      <c r="X22" s="21"/>
      <c r="Y22" s="16"/>
      <c r="Z22" s="22"/>
      <c r="AA22" s="22"/>
      <c r="AB22" s="12"/>
      <c r="AC22" s="12"/>
    </row>
    <row r="23" ht="29.25" customHeight="1">
      <c r="B23" s="91"/>
      <c r="D23" s="81"/>
      <c r="E23" s="163"/>
      <c r="G23" s="81"/>
      <c r="H23" s="181"/>
      <c r="I23" s="175"/>
      <c r="J23" s="175"/>
      <c r="K23" s="175"/>
      <c r="L23" s="175"/>
      <c r="M23" s="175"/>
      <c r="N23" s="175"/>
      <c r="O23" s="149"/>
      <c r="P23" s="149"/>
      <c r="Q23" s="150"/>
      <c r="R23" s="151"/>
      <c r="S23" s="188"/>
      <c r="T23" s="89"/>
      <c r="U23" s="90"/>
      <c r="V23" s="20"/>
      <c r="W23" s="21"/>
      <c r="X23" s="21"/>
      <c r="Y23" s="16"/>
      <c r="Z23" s="22"/>
      <c r="AA23" s="22"/>
      <c r="AB23" s="12"/>
      <c r="AC23" s="12"/>
    </row>
    <row r="24" ht="29.25" customHeight="1">
      <c r="B24" s="91"/>
      <c r="D24" s="92"/>
      <c r="E24" s="168"/>
      <c r="G24" s="92"/>
      <c r="H24" s="181"/>
      <c r="I24" s="175"/>
      <c r="J24" s="175"/>
      <c r="K24" s="143"/>
      <c r="L24" s="175"/>
      <c r="M24" s="175"/>
      <c r="N24" s="189"/>
      <c r="O24" s="152">
        <f>$O$22+7</f>
        <v>46419</v>
      </c>
      <c r="P24" s="153" t="s">
        <v>43</v>
      </c>
      <c r="Q24" s="154">
        <f>$O$24+6</f>
        <v>46425</v>
      </c>
      <c r="R24" s="145">
        <f>SUM(H24:N24)+SUM(H25:N25)</f>
        <v>0</v>
      </c>
      <c r="S24" s="188"/>
      <c r="T24" s="89"/>
      <c r="U24" s="90"/>
      <c r="V24" s="20"/>
      <c r="W24" s="21"/>
      <c r="X24" s="21"/>
      <c r="Y24" s="16"/>
      <c r="Z24" s="22"/>
      <c r="AA24" s="22"/>
      <c r="AB24" s="12"/>
      <c r="AC24" s="12"/>
    </row>
    <row r="25" ht="29.25" customHeight="1">
      <c r="B25" s="191"/>
      <c r="C25" s="192"/>
      <c r="D25" s="193"/>
      <c r="E25" s="182"/>
      <c r="F25" s="183"/>
      <c r="G25" s="184"/>
      <c r="H25" s="195"/>
      <c r="I25" s="196"/>
      <c r="J25" s="196"/>
      <c r="K25" s="197"/>
      <c r="L25" s="196"/>
      <c r="M25" s="196"/>
      <c r="N25" s="198"/>
      <c r="O25" s="199"/>
      <c r="P25" s="199"/>
      <c r="Q25" s="200"/>
      <c r="R25" s="201"/>
      <c r="S25" s="220"/>
      <c r="T25" s="203"/>
      <c r="U25" s="204"/>
      <c r="V25" s="20"/>
      <c r="W25" s="21"/>
      <c r="X25" s="21"/>
      <c r="Y25" s="16"/>
      <c r="Z25" s="22"/>
      <c r="AA25" s="22"/>
      <c r="AB25" s="12"/>
      <c r="AC25" s="12"/>
    </row>
    <row r="26">
      <c r="A26" s="205"/>
      <c r="B26" s="206"/>
      <c r="C26" s="207"/>
      <c r="D26" s="46"/>
      <c r="E26" s="46"/>
      <c r="F26" s="46"/>
      <c r="G26" s="46"/>
      <c r="H26" s="206"/>
      <c r="I26" s="206"/>
      <c r="J26" s="206"/>
      <c r="K26" s="206"/>
      <c r="L26" s="206"/>
      <c r="M26" s="206"/>
      <c r="N26" s="206"/>
      <c r="O26" s="206"/>
      <c r="P26" s="206"/>
      <c r="Q26" s="206"/>
      <c r="R26" s="209"/>
      <c r="S26" s="206"/>
      <c r="T26" s="46"/>
      <c r="U26" s="46"/>
      <c r="V26" s="21"/>
      <c r="W26" s="21"/>
      <c r="X26" s="21"/>
      <c r="Y26" s="16"/>
      <c r="Z26" s="22"/>
      <c r="AA26" s="22"/>
      <c r="AB26" s="12"/>
      <c r="AC26" s="12"/>
    </row>
    <row r="27">
      <c r="A27" s="205"/>
      <c r="B27" s="205"/>
      <c r="C27" s="212"/>
      <c r="D27" s="21"/>
      <c r="E27" s="21"/>
      <c r="F27" s="21"/>
      <c r="G27" s="21"/>
      <c r="H27" s="205"/>
      <c r="I27" s="205"/>
      <c r="J27" s="205"/>
      <c r="K27" s="205"/>
      <c r="L27" s="205"/>
      <c r="M27" s="205"/>
      <c r="N27" s="205"/>
      <c r="O27" s="205"/>
      <c r="P27" s="205"/>
      <c r="Q27" s="205"/>
      <c r="R27" s="213" t="s">
        <v>72</v>
      </c>
      <c r="S27" s="205"/>
      <c r="T27" s="21"/>
      <c r="U27" s="21"/>
      <c r="V27" s="21"/>
      <c r="W27" s="21"/>
      <c r="X27" s="21"/>
      <c r="Y27" s="21"/>
      <c r="Z27" s="46"/>
      <c r="AA27" s="46"/>
      <c r="AB27" s="12"/>
      <c r="AC27" s="12"/>
    </row>
    <row r="28">
      <c r="A28" s="205"/>
      <c r="B28" s="205"/>
      <c r="C28" s="205"/>
      <c r="D28" s="21"/>
      <c r="E28" s="21"/>
      <c r="F28" s="21"/>
      <c r="G28" s="21"/>
      <c r="H28" s="205"/>
      <c r="I28" s="205"/>
      <c r="J28" s="205"/>
      <c r="K28" s="205"/>
      <c r="L28" s="205"/>
      <c r="M28" s="205"/>
      <c r="N28" s="205"/>
      <c r="O28" s="205"/>
      <c r="P28" s="205"/>
      <c r="Q28" s="205"/>
      <c r="R28" s="214">
        <f>sum(R8:R24)</f>
        <v>0</v>
      </c>
      <c r="S28" s="209"/>
      <c r="T28" s="21"/>
      <c r="U28" s="21"/>
      <c r="V28" s="21"/>
      <c r="W28" s="21"/>
      <c r="X28" s="21"/>
      <c r="Y28" s="21"/>
      <c r="Z28" s="21"/>
      <c r="AA28" s="21"/>
      <c r="AB28" s="12"/>
      <c r="AC28" s="12"/>
    </row>
    <row r="29">
      <c r="A29" s="205"/>
      <c r="B29" s="205"/>
      <c r="C29" s="205"/>
      <c r="D29" s="205"/>
      <c r="E29" s="205"/>
      <c r="F29" s="205"/>
      <c r="G29" s="215"/>
      <c r="H29" s="205"/>
      <c r="I29" s="205"/>
      <c r="J29" s="205"/>
      <c r="K29" s="205"/>
      <c r="L29" s="205"/>
      <c r="M29" s="205"/>
      <c r="N29" s="205"/>
      <c r="O29" s="205"/>
      <c r="P29" s="205"/>
      <c r="Q29" s="21"/>
      <c r="R29" s="21"/>
      <c r="S29" s="21"/>
      <c r="T29" s="21"/>
      <c r="U29" s="21"/>
      <c r="V29" s="21"/>
      <c r="W29" s="21"/>
      <c r="X29" s="21"/>
      <c r="Y29" s="21"/>
      <c r="Z29" s="21"/>
      <c r="AA29" s="21"/>
      <c r="AB29" s="12"/>
      <c r="AC29" s="12"/>
    </row>
    <row r="30">
      <c r="A30" s="205"/>
      <c r="B30" s="205"/>
      <c r="C30" s="205"/>
      <c r="D30" s="205"/>
      <c r="E30" s="216"/>
      <c r="F30" s="217"/>
      <c r="G30" s="215"/>
      <c r="H30" s="205"/>
      <c r="I30" s="205"/>
      <c r="J30" s="205"/>
      <c r="K30" s="205"/>
      <c r="L30" s="205"/>
      <c r="M30" s="205"/>
      <c r="N30" s="205"/>
      <c r="O30" s="205"/>
      <c r="P30" s="205"/>
      <c r="Q30" s="21"/>
      <c r="R30" s="21"/>
      <c r="S30" s="21"/>
      <c r="T30" s="21"/>
      <c r="U30" s="21"/>
      <c r="V30" s="21"/>
      <c r="W30" s="21"/>
      <c r="X30" s="21"/>
      <c r="Y30" s="21"/>
      <c r="Z30" s="21"/>
      <c r="AA30" s="21"/>
      <c r="AB30" s="12"/>
      <c r="AC30" s="12"/>
    </row>
    <row r="31">
      <c r="A31" s="205"/>
      <c r="B31" s="205"/>
      <c r="C31" s="205"/>
      <c r="D31" s="205"/>
      <c r="E31" s="218"/>
      <c r="F31" s="217"/>
      <c r="G31" s="215"/>
      <c r="H31" s="205"/>
      <c r="I31" s="205"/>
      <c r="J31" s="205"/>
      <c r="K31" s="205"/>
      <c r="L31" s="205"/>
      <c r="M31" s="205"/>
      <c r="N31" s="205"/>
      <c r="O31" s="205"/>
      <c r="P31" s="205"/>
      <c r="Q31" s="21"/>
      <c r="R31" s="21"/>
      <c r="S31" s="21"/>
      <c r="T31" s="21"/>
      <c r="U31" s="21"/>
      <c r="V31" s="21"/>
      <c r="W31" s="21"/>
      <c r="X31" s="21"/>
      <c r="Y31" s="21"/>
      <c r="Z31" s="21"/>
      <c r="AA31" s="21"/>
      <c r="AB31" s="12"/>
      <c r="AC31" s="12"/>
    </row>
    <row r="32">
      <c r="A32" s="205"/>
      <c r="B32" s="205"/>
      <c r="C32" s="205"/>
      <c r="D32" s="205"/>
      <c r="E32" s="218"/>
      <c r="F32" s="217"/>
      <c r="G32" s="215"/>
      <c r="H32" s="205"/>
      <c r="I32" s="205"/>
      <c r="J32" s="205"/>
      <c r="K32" s="205"/>
      <c r="L32" s="205"/>
      <c r="M32" s="205"/>
      <c r="N32" s="205"/>
      <c r="O32" s="205"/>
      <c r="P32" s="205"/>
      <c r="Q32" s="21"/>
      <c r="R32" s="21"/>
      <c r="S32" s="21"/>
      <c r="T32" s="21"/>
      <c r="U32" s="21"/>
      <c r="V32" s="21"/>
      <c r="W32" s="21"/>
      <c r="X32" s="21"/>
      <c r="Y32" s="21"/>
      <c r="Z32" s="21"/>
      <c r="AA32" s="21"/>
      <c r="AB32" s="12"/>
      <c r="AC32" s="12"/>
    </row>
    <row r="33">
      <c r="A33" s="209"/>
      <c r="B33" s="209"/>
      <c r="C33" s="209"/>
      <c r="D33" s="209"/>
      <c r="E33" s="219"/>
      <c r="F33" s="209"/>
      <c r="G33" s="209"/>
      <c r="H33" s="209"/>
      <c r="I33" s="209"/>
      <c r="J33" s="209"/>
      <c r="K33" s="209"/>
      <c r="L33" s="209"/>
      <c r="M33" s="209"/>
      <c r="N33" s="209"/>
      <c r="O33" s="209"/>
      <c r="P33" s="209"/>
      <c r="Q33" s="21"/>
      <c r="R33" s="21"/>
      <c r="S33" s="21"/>
      <c r="T33" s="21"/>
      <c r="U33" s="21"/>
      <c r="V33" s="21"/>
      <c r="W33" s="21"/>
      <c r="X33" s="21"/>
      <c r="Y33" s="21"/>
      <c r="Z33" s="21"/>
      <c r="AA33" s="21"/>
      <c r="AB33" s="12"/>
      <c r="AC33" s="12"/>
    </row>
    <row r="34">
      <c r="A34" s="12"/>
      <c r="B34" s="12"/>
      <c r="C34" s="12"/>
      <c r="D34" s="12"/>
      <c r="E34" s="12"/>
      <c r="F34" s="12"/>
      <c r="G34" s="12"/>
      <c r="H34" s="209"/>
      <c r="I34" s="209"/>
      <c r="J34" s="209"/>
      <c r="K34" s="209"/>
      <c r="L34" s="209"/>
      <c r="M34" s="209"/>
      <c r="N34" s="209"/>
      <c r="O34" s="209"/>
      <c r="P34" s="209"/>
      <c r="Q34" s="21"/>
      <c r="R34" s="21"/>
      <c r="S34" s="21"/>
      <c r="T34" s="21"/>
      <c r="U34" s="21"/>
      <c r="V34" s="21"/>
      <c r="W34" s="21"/>
      <c r="X34" s="21"/>
      <c r="Y34" s="21"/>
      <c r="Z34" s="21"/>
      <c r="AA34" s="21"/>
      <c r="AB34" s="12"/>
      <c r="AC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row>
  </sheetData>
  <mergeCells count="61">
    <mergeCell ref="O2:U2"/>
    <mergeCell ref="P3:U3"/>
    <mergeCell ref="B4:C4"/>
    <mergeCell ref="D4:E4"/>
    <mergeCell ref="H4:J4"/>
    <mergeCell ref="K4:L4"/>
    <mergeCell ref="H3:J3"/>
    <mergeCell ref="G5:H5"/>
    <mergeCell ref="J5:K5"/>
    <mergeCell ref="B6:M6"/>
    <mergeCell ref="B7:D7"/>
    <mergeCell ref="E7:G7"/>
    <mergeCell ref="O7:Q7"/>
    <mergeCell ref="T7:U7"/>
    <mergeCell ref="P4:U4"/>
    <mergeCell ref="S8:S17"/>
    <mergeCell ref="T8:U8"/>
    <mergeCell ref="T9:U9"/>
    <mergeCell ref="T10:U10"/>
    <mergeCell ref="T11:U11"/>
    <mergeCell ref="T12:U12"/>
    <mergeCell ref="B18:D18"/>
    <mergeCell ref="T18:U18"/>
    <mergeCell ref="B19:D19"/>
    <mergeCell ref="T19:U19"/>
    <mergeCell ref="E20:G25"/>
    <mergeCell ref="T20:U20"/>
    <mergeCell ref="T21:U21"/>
    <mergeCell ref="T22:U22"/>
    <mergeCell ref="T23:U23"/>
    <mergeCell ref="T24:U24"/>
    <mergeCell ref="T25:U25"/>
    <mergeCell ref="B21:D21"/>
    <mergeCell ref="B22:D22"/>
    <mergeCell ref="B23:D23"/>
    <mergeCell ref="B24:D24"/>
    <mergeCell ref="E30:F30"/>
    <mergeCell ref="E31:F31"/>
    <mergeCell ref="E32:F32"/>
    <mergeCell ref="A1:A25"/>
    <mergeCell ref="B1:V1"/>
    <mergeCell ref="B2:M2"/>
    <mergeCell ref="B3:C3"/>
    <mergeCell ref="D3:E3"/>
    <mergeCell ref="K3:L3"/>
    <mergeCell ref="B13:D13"/>
    <mergeCell ref="B25:D25"/>
    <mergeCell ref="B9:D9"/>
    <mergeCell ref="B10:D10"/>
    <mergeCell ref="B11:D11"/>
    <mergeCell ref="B12:D12"/>
    <mergeCell ref="E8:G13"/>
    <mergeCell ref="E14:G19"/>
    <mergeCell ref="T13:U13"/>
    <mergeCell ref="T14:U14"/>
    <mergeCell ref="B15:D15"/>
    <mergeCell ref="T15:U15"/>
    <mergeCell ref="B16:D16"/>
    <mergeCell ref="B17:D17"/>
    <mergeCell ref="T16:U16"/>
    <mergeCell ref="T17:U17"/>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1" max="1" width="1.38"/>
    <col customWidth="1" min="2" max="2" width="11.13"/>
    <col customWidth="1" min="3" max="3" width="11.88"/>
    <col customWidth="1" min="4" max="4" width="9.75"/>
    <col customWidth="1" min="5" max="5" width="12.88"/>
    <col customWidth="1" min="6" max="6" width="14.25"/>
    <col customWidth="1" min="7" max="7" width="12.38"/>
    <col customWidth="1" min="8" max="14" width="9.5"/>
    <col customWidth="1" min="15" max="15" width="5.13"/>
    <col customWidth="1" min="16" max="16" width="6.0"/>
    <col customWidth="1" min="17" max="17" width="5.25"/>
    <col customWidth="1" min="19" max="19" width="14.88"/>
  </cols>
  <sheetData>
    <row r="1" ht="9.0" customHeight="1" outlineLevel="1">
      <c r="A1" s="8"/>
      <c r="B1" s="112"/>
      <c r="C1" s="10"/>
      <c r="D1" s="10"/>
      <c r="E1" s="10"/>
      <c r="F1" s="10"/>
      <c r="G1" s="10"/>
      <c r="H1" s="10"/>
      <c r="I1" s="10"/>
      <c r="J1" s="10"/>
      <c r="K1" s="10"/>
      <c r="L1" s="10"/>
      <c r="M1" s="10"/>
      <c r="N1" s="10"/>
      <c r="O1" s="10"/>
      <c r="P1" s="10"/>
      <c r="Q1" s="10"/>
      <c r="R1" s="10"/>
      <c r="S1" s="10"/>
      <c r="T1" s="10"/>
      <c r="U1" s="10"/>
      <c r="V1" s="10"/>
      <c r="W1" s="12"/>
      <c r="X1" s="12"/>
      <c r="Y1" s="22"/>
      <c r="Z1" s="117"/>
      <c r="AA1" s="119"/>
      <c r="AB1" s="121"/>
      <c r="AC1" s="119"/>
      <c r="AD1" s="121"/>
      <c r="AE1" s="119"/>
      <c r="AF1" s="121"/>
      <c r="AG1" s="119"/>
      <c r="AH1" s="121"/>
      <c r="AI1" s="124"/>
      <c r="AJ1" s="12"/>
      <c r="AK1" s="12"/>
      <c r="AL1" s="12"/>
      <c r="AM1" s="12"/>
    </row>
    <row r="2" ht="23.25" customHeight="1" outlineLevel="1">
      <c r="B2" s="125" t="s">
        <v>13</v>
      </c>
      <c r="C2" s="29"/>
      <c r="D2" s="29"/>
      <c r="E2" s="29"/>
      <c r="F2" s="29"/>
      <c r="G2" s="29"/>
      <c r="H2" s="29"/>
      <c r="I2" s="29"/>
      <c r="J2" s="29"/>
      <c r="K2" s="29"/>
      <c r="L2" s="29"/>
      <c r="M2" s="29"/>
      <c r="N2" s="29"/>
      <c r="O2" s="24"/>
      <c r="P2" s="20"/>
      <c r="Q2" s="16"/>
      <c r="R2" s="22"/>
      <c r="S2" s="22"/>
      <c r="T2" s="117"/>
      <c r="U2" s="21"/>
      <c r="V2" s="16"/>
      <c r="W2" s="22"/>
      <c r="X2" s="22"/>
      <c r="Y2" s="22"/>
      <c r="Z2" s="117"/>
      <c r="AA2" s="119"/>
      <c r="AB2" s="121"/>
      <c r="AC2" s="119"/>
      <c r="AD2" s="121"/>
      <c r="AE2" s="119"/>
      <c r="AF2" s="121"/>
      <c r="AG2" s="119"/>
      <c r="AH2" s="121"/>
      <c r="AI2" s="124"/>
      <c r="AJ2" s="12"/>
      <c r="AK2" s="12"/>
      <c r="AL2" s="12"/>
      <c r="AM2" s="12"/>
    </row>
    <row r="3" ht="23.25" customHeight="1" outlineLevel="1">
      <c r="B3" s="23" t="s">
        <v>54</v>
      </c>
      <c r="C3" s="24"/>
      <c r="D3" s="25" t="s">
        <v>55</v>
      </c>
      <c r="E3" s="24"/>
      <c r="F3" s="27" t="s">
        <v>56</v>
      </c>
      <c r="G3" s="24"/>
      <c r="H3" s="27" t="s">
        <v>57</v>
      </c>
      <c r="I3" s="29"/>
      <c r="J3" s="28" t="s">
        <v>58</v>
      </c>
      <c r="K3" s="29"/>
      <c r="L3" s="28" t="s">
        <v>59</v>
      </c>
      <c r="M3" s="29"/>
      <c r="N3" s="144" t="s">
        <v>60</v>
      </c>
      <c r="O3" s="24"/>
      <c r="P3" s="21"/>
      <c r="Q3" s="16"/>
      <c r="R3" s="22"/>
      <c r="S3" s="22"/>
      <c r="T3" s="117"/>
      <c r="U3" s="21"/>
      <c r="V3" s="16"/>
      <c r="W3" s="22"/>
      <c r="X3" s="22"/>
      <c r="Y3" s="22"/>
      <c r="Z3" s="117"/>
      <c r="AA3" s="119"/>
      <c r="AB3" s="121"/>
      <c r="AC3" s="119"/>
      <c r="AD3" s="121"/>
      <c r="AE3" s="119"/>
      <c r="AF3" s="121"/>
      <c r="AG3" s="119"/>
      <c r="AH3" s="121"/>
      <c r="AI3" s="124"/>
      <c r="AJ3" s="12"/>
      <c r="AK3" s="12"/>
      <c r="AL3" s="12"/>
      <c r="AM3" s="12"/>
    </row>
    <row r="4" ht="23.25" customHeight="1" outlineLevel="1">
      <c r="B4" s="34" t="str">
        <f>'des 26 - feb 27'!B4</f>
        <v>7:00-9:00</v>
      </c>
      <c r="C4" s="24"/>
      <c r="D4" s="34" t="str">
        <f>'des 26 - feb 27'!D4</f>
        <v>6:10-6:20</v>
      </c>
      <c r="E4" s="24"/>
      <c r="F4" s="36" t="str">
        <f>'des 26 - feb 27'!F4</f>
        <v>5:15-5:23</v>
      </c>
      <c r="G4" s="24"/>
      <c r="H4" s="36" t="str">
        <f>'des 26 - feb 27'!G4</f>
        <v>5:00-5:08</v>
      </c>
      <c r="I4" s="29"/>
      <c r="J4" s="37" t="s">
        <v>64</v>
      </c>
      <c r="K4" s="29"/>
      <c r="L4" s="37" t="s">
        <v>64</v>
      </c>
      <c r="M4" s="29"/>
      <c r="N4" s="155" t="s">
        <v>64</v>
      </c>
      <c r="O4" s="24"/>
      <c r="P4" s="20"/>
      <c r="Q4" s="16"/>
      <c r="R4" s="22"/>
      <c r="S4" s="22"/>
      <c r="T4" s="117"/>
      <c r="U4" s="21"/>
      <c r="V4" s="16"/>
      <c r="W4" s="22"/>
      <c r="X4" s="22"/>
      <c r="Y4" s="21"/>
      <c r="Z4" s="16"/>
      <c r="AA4" s="124"/>
      <c r="AB4" s="158"/>
      <c r="AC4" s="124"/>
      <c r="AD4" s="158"/>
      <c r="AE4" s="124"/>
      <c r="AF4" s="158"/>
      <c r="AG4" s="124"/>
      <c r="AH4" s="158"/>
      <c r="AI4" s="119"/>
      <c r="AJ4" s="12"/>
      <c r="AK4" s="12"/>
      <c r="AL4" s="12"/>
      <c r="AM4" s="12"/>
    </row>
    <row r="5" ht="7.5" customHeight="1">
      <c r="B5" s="50"/>
      <c r="C5" s="51"/>
      <c r="D5" s="51"/>
      <c r="E5" s="51"/>
      <c r="F5" s="51"/>
      <c r="G5" s="51"/>
      <c r="H5" s="51"/>
      <c r="I5" s="51"/>
      <c r="J5" s="51"/>
      <c r="K5" s="51"/>
      <c r="L5" s="51"/>
      <c r="M5" s="52"/>
      <c r="N5" s="162"/>
      <c r="O5" s="54"/>
      <c r="P5" s="55"/>
      <c r="Q5" s="55"/>
      <c r="R5" s="55"/>
      <c r="S5" s="55"/>
      <c r="T5" s="55"/>
      <c r="U5" s="46"/>
      <c r="V5" s="46"/>
      <c r="W5" s="21"/>
      <c r="X5" s="21"/>
      <c r="Y5" s="21"/>
      <c r="Z5" s="16"/>
      <c r="AA5" s="124"/>
      <c r="AB5" s="158"/>
      <c r="AC5" s="124"/>
      <c r="AD5" s="158"/>
      <c r="AE5" s="124"/>
      <c r="AF5" s="158"/>
      <c r="AG5" s="124"/>
      <c r="AH5" s="158"/>
      <c r="AI5" s="119"/>
      <c r="AJ5" s="12"/>
      <c r="AK5" s="12"/>
      <c r="AL5" s="12"/>
      <c r="AM5" s="12"/>
    </row>
    <row r="6" ht="27.75" customHeight="1">
      <c r="B6" s="56" t="s">
        <v>30</v>
      </c>
      <c r="C6" s="57"/>
      <c r="D6" s="58"/>
      <c r="E6" s="59" t="s">
        <v>31</v>
      </c>
      <c r="F6" s="57"/>
      <c r="G6" s="58"/>
      <c r="H6" s="60" t="s">
        <v>32</v>
      </c>
      <c r="I6" s="61" t="s">
        <v>33</v>
      </c>
      <c r="J6" s="61" t="s">
        <v>34</v>
      </c>
      <c r="K6" s="61" t="s">
        <v>35</v>
      </c>
      <c r="L6" s="61" t="s">
        <v>36</v>
      </c>
      <c r="M6" s="61" t="s">
        <v>37</v>
      </c>
      <c r="N6" s="61" t="s">
        <v>38</v>
      </c>
      <c r="O6" s="62" t="s">
        <v>39</v>
      </c>
      <c r="P6" s="57"/>
      <c r="Q6" s="58"/>
      <c r="R6" s="63" t="s">
        <v>40</v>
      </c>
      <c r="S6" s="64" t="s">
        <v>41</v>
      </c>
      <c r="T6" s="64" t="s">
        <v>42</v>
      </c>
      <c r="U6" s="65"/>
      <c r="V6" s="45"/>
      <c r="W6" s="173"/>
      <c r="X6" s="21"/>
      <c r="Y6" s="21"/>
      <c r="Z6" s="16"/>
      <c r="AA6" s="124"/>
      <c r="AB6" s="158"/>
      <c r="AC6" s="124"/>
      <c r="AD6" s="158"/>
      <c r="AE6" s="124"/>
      <c r="AF6" s="158"/>
      <c r="AG6" s="124"/>
      <c r="AH6" s="158"/>
      <c r="AI6" s="119"/>
      <c r="AJ6" s="12"/>
      <c r="AK6" s="12"/>
      <c r="AL6" s="12"/>
      <c r="AM6" s="12"/>
    </row>
    <row r="7" ht="29.25" customHeight="1">
      <c r="B7" s="133">
        <f>O7</f>
        <v>46426</v>
      </c>
      <c r="C7" s="134" t="s">
        <v>43</v>
      </c>
      <c r="D7" s="137">
        <f>B7+6</f>
        <v>46432</v>
      </c>
      <c r="E7" s="139"/>
      <c r="F7" s="10"/>
      <c r="G7" s="179"/>
      <c r="H7" s="142"/>
      <c r="I7" s="143"/>
      <c r="J7" s="143"/>
      <c r="K7" s="143"/>
      <c r="L7" s="143"/>
      <c r="M7" s="143"/>
      <c r="N7" s="143"/>
      <c r="O7" s="156">
        <v>46426.0</v>
      </c>
      <c r="P7" s="134" t="s">
        <v>43</v>
      </c>
      <c r="Q7" s="137">
        <f>O7+6</f>
        <v>46432</v>
      </c>
      <c r="R7" s="160">
        <f>SUM(H7:N7)+SUM(H8:N8)</f>
        <v>0</v>
      </c>
      <c r="S7" s="185"/>
      <c r="T7" s="78" t="s">
        <v>64</v>
      </c>
      <c r="U7" s="79"/>
      <c r="V7" s="16"/>
      <c r="W7" s="22"/>
      <c r="X7" s="21"/>
      <c r="Y7" s="21"/>
      <c r="Z7" s="16"/>
      <c r="AA7" s="124"/>
      <c r="AB7" s="158"/>
      <c r="AC7" s="124"/>
      <c r="AD7" s="158"/>
      <c r="AE7" s="124"/>
      <c r="AF7" s="158"/>
      <c r="AG7" s="124"/>
      <c r="AH7" s="158"/>
      <c r="AI7" s="119"/>
      <c r="AJ7" s="12"/>
      <c r="AK7" s="12"/>
      <c r="AL7" s="12"/>
      <c r="AM7" s="12"/>
    </row>
    <row r="8" ht="29.25" customHeight="1">
      <c r="B8" s="91"/>
      <c r="D8" s="81"/>
      <c r="E8" s="186"/>
      <c r="G8" s="187"/>
      <c r="H8" s="142"/>
      <c r="I8" s="143"/>
      <c r="J8" s="143"/>
      <c r="K8" s="143"/>
      <c r="L8" s="143"/>
      <c r="M8" s="143"/>
      <c r="N8" s="143"/>
      <c r="O8" s="164"/>
      <c r="P8" s="157"/>
      <c r="Q8" s="159"/>
      <c r="R8" s="165"/>
      <c r="S8" s="188"/>
      <c r="T8" s="89" t="s">
        <v>64</v>
      </c>
      <c r="U8" s="90"/>
      <c r="V8" s="20"/>
      <c r="W8" s="21"/>
      <c r="X8" s="21"/>
      <c r="Y8" s="21"/>
      <c r="Z8" s="16"/>
      <c r="AA8" s="124"/>
      <c r="AB8" s="158"/>
      <c r="AC8" s="124"/>
      <c r="AD8" s="158"/>
      <c r="AE8" s="124"/>
      <c r="AF8" s="158"/>
      <c r="AG8" s="124"/>
      <c r="AH8" s="158"/>
      <c r="AI8" s="119"/>
      <c r="AJ8" s="12"/>
      <c r="AK8" s="12"/>
      <c r="AL8" s="12"/>
      <c r="AM8" s="12"/>
    </row>
    <row r="9" ht="29.25" customHeight="1">
      <c r="B9" s="91"/>
      <c r="D9" s="92"/>
      <c r="E9" s="186"/>
      <c r="G9" s="187"/>
      <c r="H9" s="142"/>
      <c r="I9" s="143"/>
      <c r="J9" s="143"/>
      <c r="K9" s="143"/>
      <c r="L9" s="143"/>
      <c r="M9" s="143"/>
      <c r="N9" s="143"/>
      <c r="O9" s="169">
        <f>$O$7+7</f>
        <v>46433</v>
      </c>
      <c r="P9" s="170" t="s">
        <v>43</v>
      </c>
      <c r="Q9" s="171">
        <f>$O$9+6</f>
        <v>46439</v>
      </c>
      <c r="R9" s="172">
        <f>SUM(H9:N9)+SUM(H10:N10)</f>
        <v>0</v>
      </c>
      <c r="S9" s="188"/>
      <c r="T9" s="89" t="s">
        <v>64</v>
      </c>
      <c r="U9" s="90"/>
      <c r="V9" s="20"/>
      <c r="W9" s="21"/>
      <c r="X9" s="21"/>
      <c r="Y9" s="21"/>
      <c r="Z9" s="16"/>
      <c r="AA9" s="124"/>
      <c r="AB9" s="158"/>
      <c r="AC9" s="124"/>
      <c r="AD9" s="158"/>
      <c r="AE9" s="124"/>
      <c r="AF9" s="158"/>
      <c r="AG9" s="124"/>
      <c r="AH9" s="158"/>
      <c r="AI9" s="119"/>
      <c r="AJ9" s="12"/>
      <c r="AK9" s="12"/>
      <c r="AL9" s="12"/>
      <c r="AM9" s="12"/>
    </row>
    <row r="10" ht="29.25" customHeight="1">
      <c r="B10" s="91"/>
      <c r="D10" s="81"/>
      <c r="E10" s="186"/>
      <c r="G10" s="187"/>
      <c r="H10" s="142"/>
      <c r="I10" s="143"/>
      <c r="J10" s="143"/>
      <c r="K10" s="143"/>
      <c r="L10" s="143"/>
      <c r="M10" s="143"/>
      <c r="N10" s="143"/>
      <c r="O10" s="176"/>
      <c r="P10" s="149"/>
      <c r="Q10" s="150"/>
      <c r="R10" s="151"/>
      <c r="S10" s="188"/>
      <c r="T10" s="89" t="s">
        <v>64</v>
      </c>
      <c r="U10" s="90"/>
      <c r="V10" s="20"/>
      <c r="W10" s="21"/>
      <c r="X10" s="21"/>
      <c r="Y10" s="21"/>
      <c r="Z10" s="16"/>
      <c r="AA10" s="124"/>
      <c r="AB10" s="158"/>
      <c r="AC10" s="124"/>
      <c r="AD10" s="158"/>
      <c r="AE10" s="124"/>
      <c r="AF10" s="158"/>
      <c r="AG10" s="124"/>
      <c r="AH10" s="158"/>
      <c r="AI10" s="119"/>
      <c r="AJ10" s="12"/>
      <c r="AK10" s="12"/>
      <c r="AL10" s="12"/>
      <c r="AM10" s="12"/>
    </row>
    <row r="11" ht="29.25" customHeight="1">
      <c r="B11" s="91"/>
      <c r="D11" s="92"/>
      <c r="E11" s="186"/>
      <c r="G11" s="187"/>
      <c r="H11" s="95"/>
      <c r="I11" s="95"/>
      <c r="J11" s="95"/>
      <c r="K11" s="107"/>
      <c r="L11" s="95"/>
      <c r="M11" s="107"/>
      <c r="N11" s="95"/>
      <c r="O11" s="180">
        <f>$O$9+7</f>
        <v>46440</v>
      </c>
      <c r="P11" s="134" t="s">
        <v>43</v>
      </c>
      <c r="Q11" s="137">
        <f>$O$11+6</f>
        <v>46446</v>
      </c>
      <c r="R11" s="172">
        <f>SUM(H11:N11)+SUM(H12:N12)</f>
        <v>0</v>
      </c>
      <c r="S11" s="188"/>
      <c r="T11" s="89" t="s">
        <v>64</v>
      </c>
      <c r="U11" s="90"/>
      <c r="V11" s="20"/>
      <c r="W11" s="21"/>
      <c r="X11" s="21"/>
      <c r="Y11" s="21"/>
      <c r="Z11" s="16"/>
      <c r="AA11" s="124"/>
      <c r="AB11" s="158"/>
      <c r="AC11" s="124"/>
      <c r="AD11" s="158"/>
      <c r="AE11" s="124"/>
      <c r="AF11" s="158"/>
      <c r="AG11" s="124"/>
      <c r="AH11" s="158"/>
      <c r="AI11" s="119"/>
      <c r="AJ11" s="12"/>
      <c r="AK11" s="12"/>
      <c r="AL11" s="12"/>
      <c r="AM11" s="12"/>
    </row>
    <row r="12" ht="29.25" customHeight="1">
      <c r="B12" s="91"/>
      <c r="D12" s="81"/>
      <c r="E12" s="208"/>
      <c r="F12" s="210"/>
      <c r="G12" s="211"/>
      <c r="H12" s="142"/>
      <c r="I12" s="143"/>
      <c r="J12" s="143"/>
      <c r="K12" s="143"/>
      <c r="L12" s="143"/>
      <c r="M12" s="143"/>
      <c r="N12" s="143"/>
      <c r="O12" s="164"/>
      <c r="P12" s="157"/>
      <c r="Q12" s="159"/>
      <c r="R12" s="151"/>
      <c r="S12" s="188"/>
      <c r="T12" s="89" t="s">
        <v>64</v>
      </c>
      <c r="U12" s="90"/>
      <c r="V12" s="20"/>
      <c r="W12" s="21"/>
      <c r="X12" s="21"/>
      <c r="Y12" s="21"/>
      <c r="Z12" s="16"/>
      <c r="AA12" s="124"/>
      <c r="AB12" s="158"/>
      <c r="AC12" s="124"/>
      <c r="AD12" s="158"/>
      <c r="AE12" s="124"/>
      <c r="AF12" s="158"/>
      <c r="AG12" s="124"/>
      <c r="AH12" s="158"/>
      <c r="AI12" s="119"/>
      <c r="AJ12" s="12"/>
      <c r="AK12" s="12"/>
      <c r="AL12" s="12"/>
      <c r="AM12" s="12"/>
    </row>
    <row r="13" ht="29.25" customHeight="1">
      <c r="B13" s="126">
        <f>B7+7</f>
        <v>46433</v>
      </c>
      <c r="C13" s="127" t="s">
        <v>43</v>
      </c>
      <c r="D13" s="128">
        <f>B13+6</f>
        <v>46439</v>
      </c>
      <c r="E13" s="139"/>
      <c r="F13" s="10"/>
      <c r="G13" s="179"/>
      <c r="H13" s="142"/>
      <c r="I13" s="143"/>
      <c r="J13" s="143"/>
      <c r="K13" s="143"/>
      <c r="L13" s="143"/>
      <c r="M13" s="143"/>
      <c r="N13" s="143"/>
      <c r="O13" s="135">
        <f>$O$11+7</f>
        <v>46447</v>
      </c>
      <c r="P13" s="136" t="s">
        <v>43</v>
      </c>
      <c r="Q13" s="138">
        <f>$O$13+6</f>
        <v>46453</v>
      </c>
      <c r="R13" s="145">
        <f>SUM(H13:N13)+SUM(H14:N14)</f>
        <v>0</v>
      </c>
      <c r="S13" s="188"/>
      <c r="T13" s="89" t="s">
        <v>64</v>
      </c>
      <c r="U13" s="90"/>
      <c r="V13" s="20"/>
      <c r="W13" s="21"/>
      <c r="X13" s="21"/>
      <c r="Y13" s="21"/>
      <c r="Z13" s="16"/>
      <c r="AA13" s="124"/>
      <c r="AB13" s="158"/>
      <c r="AC13" s="124"/>
      <c r="AD13" s="158"/>
      <c r="AE13" s="124"/>
      <c r="AF13" s="158"/>
      <c r="AG13" s="124"/>
      <c r="AH13" s="158"/>
      <c r="AI13" s="119"/>
      <c r="AJ13" s="12"/>
      <c r="AK13" s="12"/>
      <c r="AL13" s="12"/>
      <c r="AM13" s="12"/>
    </row>
    <row r="14" ht="29.25" customHeight="1">
      <c r="B14" s="91"/>
      <c r="D14" s="81"/>
      <c r="E14" s="186"/>
      <c r="G14" s="187"/>
      <c r="H14" s="142"/>
      <c r="I14" s="143"/>
      <c r="J14" s="143"/>
      <c r="K14" s="143"/>
      <c r="L14" s="143"/>
      <c r="M14" s="143"/>
      <c r="N14" s="143"/>
      <c r="O14" s="149"/>
      <c r="P14" s="149"/>
      <c r="Q14" s="150"/>
      <c r="R14" s="151"/>
      <c r="S14" s="188"/>
      <c r="T14" s="89" t="s">
        <v>64</v>
      </c>
      <c r="U14" s="90"/>
      <c r="V14" s="20"/>
      <c r="W14" s="21"/>
      <c r="X14" s="21"/>
      <c r="Y14" s="21"/>
      <c r="Z14" s="16"/>
      <c r="AA14" s="124"/>
      <c r="AB14" s="158"/>
      <c r="AC14" s="124"/>
      <c r="AD14" s="158"/>
      <c r="AE14" s="124"/>
      <c r="AF14" s="158"/>
      <c r="AG14" s="124"/>
      <c r="AH14" s="158"/>
      <c r="AI14" s="119"/>
      <c r="AJ14" s="12"/>
      <c r="AK14" s="12"/>
      <c r="AL14" s="12"/>
      <c r="AM14" s="12"/>
    </row>
    <row r="15" ht="29.25" customHeight="1">
      <c r="B15" s="91"/>
      <c r="D15" s="92"/>
      <c r="E15" s="186"/>
      <c r="G15" s="187"/>
      <c r="H15" s="142"/>
      <c r="I15" s="143"/>
      <c r="J15" s="143"/>
      <c r="K15" s="143"/>
      <c r="L15" s="143"/>
      <c r="M15" s="143"/>
      <c r="N15" s="143"/>
      <c r="O15" s="152">
        <f>$O$13+7</f>
        <v>46454</v>
      </c>
      <c r="P15" s="153" t="s">
        <v>43</v>
      </c>
      <c r="Q15" s="154">
        <f>$O$15+6</f>
        <v>46460</v>
      </c>
      <c r="R15" s="145">
        <f>SUM(H15:N15)+SUM(H16:N16)</f>
        <v>0</v>
      </c>
      <c r="S15" s="188"/>
      <c r="T15" s="89" t="s">
        <v>64</v>
      </c>
      <c r="U15" s="90"/>
      <c r="V15" s="20"/>
      <c r="W15" s="21"/>
      <c r="X15" s="21"/>
      <c r="Y15" s="21"/>
      <c r="Z15" s="16"/>
      <c r="AA15" s="124"/>
      <c r="AB15" s="158"/>
      <c r="AC15" s="124"/>
      <c r="AD15" s="158"/>
      <c r="AE15" s="124"/>
      <c r="AF15" s="158"/>
      <c r="AG15" s="124"/>
      <c r="AH15" s="158"/>
      <c r="AI15" s="119"/>
      <c r="AJ15" s="12"/>
      <c r="AK15" s="12"/>
      <c r="AL15" s="12"/>
      <c r="AM15" s="12"/>
    </row>
    <row r="16" ht="29.25" customHeight="1">
      <c r="B16" s="91"/>
      <c r="D16" s="81"/>
      <c r="E16" s="186"/>
      <c r="G16" s="187"/>
      <c r="H16" s="142"/>
      <c r="I16" s="143"/>
      <c r="J16" s="143"/>
      <c r="K16" s="143"/>
      <c r="L16" s="143"/>
      <c r="M16" s="143"/>
      <c r="N16" s="143"/>
      <c r="O16" s="157"/>
      <c r="P16" s="157"/>
      <c r="Q16" s="159"/>
      <c r="R16" s="151"/>
      <c r="S16" s="188"/>
      <c r="T16" s="89" t="s">
        <v>64</v>
      </c>
      <c r="U16" s="90"/>
      <c r="V16" s="20"/>
      <c r="W16" s="21"/>
      <c r="X16" s="21"/>
      <c r="Y16" s="21"/>
      <c r="Z16" s="16"/>
      <c r="AA16" s="124"/>
      <c r="AB16" s="158"/>
      <c r="AC16" s="124"/>
      <c r="AD16" s="158"/>
      <c r="AE16" s="124"/>
      <c r="AF16" s="158"/>
      <c r="AG16" s="124"/>
      <c r="AH16" s="158"/>
      <c r="AI16" s="119"/>
      <c r="AJ16" s="12"/>
      <c r="AK16" s="12"/>
      <c r="AL16" s="12"/>
      <c r="AM16" s="12"/>
    </row>
    <row r="17" ht="29.25" customHeight="1">
      <c r="B17" s="91"/>
      <c r="D17" s="92"/>
      <c r="E17" s="186"/>
      <c r="G17" s="187"/>
      <c r="H17" s="142"/>
      <c r="I17" s="143"/>
      <c r="J17" s="143"/>
      <c r="K17" s="143"/>
      <c r="L17" s="143"/>
      <c r="M17" s="143"/>
      <c r="N17" s="143"/>
      <c r="O17" s="135">
        <f>$O$15+7</f>
        <v>46461</v>
      </c>
      <c r="P17" s="136" t="s">
        <v>43</v>
      </c>
      <c r="Q17" s="138">
        <f>$O$17+6</f>
        <v>46467</v>
      </c>
      <c r="R17" s="145">
        <f>SUM(H17:N17)+SUM(H18:N18)</f>
        <v>0</v>
      </c>
      <c r="S17" s="188"/>
      <c r="T17" s="89" t="s">
        <v>64</v>
      </c>
      <c r="U17" s="90"/>
      <c r="V17" s="20"/>
      <c r="W17" s="21"/>
      <c r="X17" s="21"/>
      <c r="Y17" s="21"/>
      <c r="Z17" s="16"/>
      <c r="AA17" s="124"/>
      <c r="AB17" s="158"/>
      <c r="AC17" s="124"/>
      <c r="AD17" s="158"/>
      <c r="AE17" s="124"/>
      <c r="AF17" s="158"/>
      <c r="AG17" s="124"/>
      <c r="AH17" s="158"/>
      <c r="AI17" s="119"/>
      <c r="AJ17" s="12"/>
      <c r="AK17" s="12"/>
      <c r="AL17" s="12"/>
      <c r="AM17" s="12"/>
    </row>
    <row r="18" ht="29.25" customHeight="1">
      <c r="B18" s="91"/>
      <c r="D18" s="81"/>
      <c r="E18" s="208"/>
      <c r="F18" s="210"/>
      <c r="G18" s="211"/>
      <c r="H18" s="142"/>
      <c r="I18" s="143"/>
      <c r="J18" s="143"/>
      <c r="K18" s="143"/>
      <c r="L18" s="143"/>
      <c r="M18" s="143"/>
      <c r="N18" s="143"/>
      <c r="O18" s="149"/>
      <c r="P18" s="149"/>
      <c r="Q18" s="150"/>
      <c r="R18" s="151"/>
      <c r="S18" s="188"/>
      <c r="T18" s="89" t="s">
        <v>64</v>
      </c>
      <c r="U18" s="90"/>
      <c r="V18" s="20"/>
      <c r="W18" s="21"/>
      <c r="X18" s="21"/>
      <c r="Y18" s="21"/>
      <c r="Z18" s="16"/>
      <c r="AA18" s="124"/>
      <c r="AB18" s="158"/>
      <c r="AC18" s="124"/>
      <c r="AD18" s="158"/>
      <c r="AE18" s="124"/>
      <c r="AF18" s="158"/>
      <c r="AG18" s="124"/>
      <c r="AH18" s="158"/>
      <c r="AI18" s="119"/>
      <c r="AJ18" s="12"/>
      <c r="AK18" s="12"/>
      <c r="AL18" s="12"/>
      <c r="AM18" s="12"/>
    </row>
    <row r="19" ht="29.25" customHeight="1">
      <c r="B19" s="126">
        <f>B13+7</f>
        <v>46440</v>
      </c>
      <c r="C19" s="127" t="s">
        <v>43</v>
      </c>
      <c r="D19" s="128">
        <f>B19+6</f>
        <v>46446</v>
      </c>
      <c r="E19" s="139"/>
      <c r="F19" s="10"/>
      <c r="G19" s="179"/>
      <c r="H19" s="142"/>
      <c r="I19" s="143"/>
      <c r="J19" s="143"/>
      <c r="K19" s="175"/>
      <c r="L19" s="175"/>
      <c r="M19" s="175"/>
      <c r="N19" s="175"/>
      <c r="O19" s="152">
        <f>$O$17+7</f>
        <v>46468</v>
      </c>
      <c r="P19" s="153" t="s">
        <v>43</v>
      </c>
      <c r="Q19" s="154">
        <f>$O$19+6</f>
        <v>46474</v>
      </c>
      <c r="R19" s="145">
        <f>SUM(H19:N19)+sum(H20:N20)</f>
        <v>0</v>
      </c>
      <c r="S19" s="188"/>
      <c r="T19" s="89" t="s">
        <v>64</v>
      </c>
      <c r="U19" s="90"/>
      <c r="V19" s="20"/>
      <c r="W19" s="21"/>
      <c r="X19" s="21"/>
      <c r="Y19" s="21"/>
      <c r="Z19" s="16"/>
      <c r="AA19" s="124"/>
      <c r="AB19" s="158"/>
      <c r="AC19" s="124"/>
      <c r="AD19" s="158"/>
      <c r="AE19" s="124"/>
      <c r="AF19" s="158"/>
      <c r="AG19" s="124"/>
      <c r="AH19" s="158"/>
      <c r="AI19" s="119"/>
      <c r="AJ19" s="12"/>
      <c r="AK19" s="12"/>
      <c r="AL19" s="12"/>
      <c r="AM19" s="12"/>
    </row>
    <row r="20" ht="29.25" customHeight="1">
      <c r="B20" s="91"/>
      <c r="D20" s="81"/>
      <c r="E20" s="186"/>
      <c r="G20" s="187"/>
      <c r="H20" s="142"/>
      <c r="I20" s="143"/>
      <c r="J20" s="143"/>
      <c r="K20" s="175"/>
      <c r="L20" s="175"/>
      <c r="M20" s="175"/>
      <c r="N20" s="143"/>
      <c r="O20" s="157"/>
      <c r="P20" s="157"/>
      <c r="Q20" s="159"/>
      <c r="R20" s="151"/>
      <c r="S20" s="188"/>
      <c r="T20" s="89" t="s">
        <v>64</v>
      </c>
      <c r="U20" s="90"/>
      <c r="V20" s="20"/>
      <c r="W20" s="21"/>
      <c r="X20" s="21"/>
      <c r="Y20" s="21"/>
      <c r="Z20" s="16"/>
      <c r="AA20" s="124"/>
      <c r="AB20" s="158"/>
      <c r="AC20" s="124"/>
      <c r="AD20" s="158"/>
      <c r="AE20" s="124"/>
      <c r="AF20" s="158"/>
      <c r="AG20" s="124"/>
      <c r="AH20" s="158"/>
      <c r="AI20" s="119"/>
      <c r="AJ20" s="12"/>
      <c r="AK20" s="12"/>
      <c r="AL20" s="12"/>
      <c r="AM20" s="12"/>
    </row>
    <row r="21" ht="29.25" customHeight="1">
      <c r="B21" s="91"/>
      <c r="D21" s="92"/>
      <c r="E21" s="186"/>
      <c r="G21" s="187"/>
      <c r="H21" s="181"/>
      <c r="I21" s="143"/>
      <c r="J21" s="175"/>
      <c r="K21" s="175"/>
      <c r="L21" s="175"/>
      <c r="M21" s="175"/>
      <c r="N21" s="175"/>
      <c r="O21" s="135">
        <f>$O$19+7</f>
        <v>46475</v>
      </c>
      <c r="P21" s="136" t="s">
        <v>43</v>
      </c>
      <c r="Q21" s="138">
        <f>$O$21+6</f>
        <v>46481</v>
      </c>
      <c r="R21" s="145">
        <f>SUM(H21:N21)+SUM(H22:N22)</f>
        <v>0</v>
      </c>
      <c r="S21" s="188"/>
      <c r="T21" s="89" t="s">
        <v>64</v>
      </c>
      <c r="U21" s="90"/>
      <c r="V21" s="20"/>
      <c r="W21" s="21"/>
      <c r="X21" s="21"/>
      <c r="Y21" s="21"/>
      <c r="Z21" s="16"/>
      <c r="AA21" s="124"/>
      <c r="AB21" s="158"/>
      <c r="AC21" s="124"/>
      <c r="AD21" s="158"/>
      <c r="AE21" s="124"/>
      <c r="AF21" s="158"/>
      <c r="AG21" s="124"/>
      <c r="AH21" s="158"/>
      <c r="AI21" s="119"/>
      <c r="AJ21" s="12"/>
      <c r="AK21" s="12"/>
      <c r="AL21" s="12"/>
      <c r="AM21" s="12"/>
    </row>
    <row r="22" ht="29.25" customHeight="1">
      <c r="B22" s="91"/>
      <c r="D22" s="81"/>
      <c r="E22" s="186"/>
      <c r="G22" s="187"/>
      <c r="H22" s="181"/>
      <c r="I22" s="175"/>
      <c r="J22" s="175"/>
      <c r="K22" s="175"/>
      <c r="L22" s="175"/>
      <c r="M22" s="175"/>
      <c r="N22" s="175"/>
      <c r="O22" s="149"/>
      <c r="P22" s="149"/>
      <c r="Q22" s="150"/>
      <c r="R22" s="151"/>
      <c r="S22" s="188"/>
      <c r="T22" s="89" t="s">
        <v>64</v>
      </c>
      <c r="U22" s="90"/>
      <c r="V22" s="20"/>
      <c r="W22" s="21"/>
      <c r="X22" s="21"/>
      <c r="Y22" s="21"/>
      <c r="Z22" s="16"/>
      <c r="AA22" s="124"/>
      <c r="AB22" s="158"/>
      <c r="AC22" s="124"/>
      <c r="AD22" s="158"/>
      <c r="AE22" s="124"/>
      <c r="AF22" s="158"/>
      <c r="AG22" s="124"/>
      <c r="AH22" s="158"/>
      <c r="AI22" s="119"/>
      <c r="AJ22" s="12"/>
      <c r="AK22" s="12"/>
      <c r="AL22" s="12"/>
      <c r="AM22" s="12"/>
    </row>
    <row r="23" ht="29.25" customHeight="1">
      <c r="B23" s="91"/>
      <c r="D23" s="92"/>
      <c r="E23" s="186"/>
      <c r="G23" s="187"/>
      <c r="H23" s="181"/>
      <c r="I23" s="175"/>
      <c r="J23" s="175"/>
      <c r="K23" s="143"/>
      <c r="L23" s="175"/>
      <c r="M23" s="175"/>
      <c r="N23" s="189"/>
      <c r="O23" s="152">
        <f>$O$21+7</f>
        <v>46482</v>
      </c>
      <c r="P23" s="153" t="s">
        <v>43</v>
      </c>
      <c r="Q23" s="154">
        <f>$O$23+6</f>
        <v>46488</v>
      </c>
      <c r="R23" s="145">
        <f>SUM(H23:N23)+SUM(H24:N24)</f>
        <v>0</v>
      </c>
      <c r="S23" s="188"/>
      <c r="T23" s="89" t="s">
        <v>64</v>
      </c>
      <c r="U23" s="90"/>
      <c r="V23" s="20"/>
      <c r="W23" s="21"/>
      <c r="X23" s="21"/>
      <c r="Y23" s="21"/>
      <c r="Z23" s="16"/>
      <c r="AA23" s="124"/>
      <c r="AB23" s="158"/>
      <c r="AC23" s="124"/>
      <c r="AD23" s="158"/>
      <c r="AE23" s="124"/>
      <c r="AF23" s="158"/>
      <c r="AG23" s="124"/>
      <c r="AH23" s="158"/>
      <c r="AI23" s="119"/>
      <c r="AJ23" s="12"/>
      <c r="AK23" s="12"/>
      <c r="AL23" s="12"/>
      <c r="AM23" s="12"/>
    </row>
    <row r="24" ht="29.25" customHeight="1">
      <c r="B24" s="191"/>
      <c r="C24" s="192"/>
      <c r="D24" s="193"/>
      <c r="E24" s="221"/>
      <c r="F24" s="202"/>
      <c r="G24" s="222"/>
      <c r="H24" s="195"/>
      <c r="I24" s="196"/>
      <c r="J24" s="196"/>
      <c r="K24" s="197"/>
      <c r="L24" s="196"/>
      <c r="M24" s="196"/>
      <c r="N24" s="198"/>
      <c r="O24" s="199"/>
      <c r="P24" s="199"/>
      <c r="Q24" s="200"/>
      <c r="R24" s="201"/>
      <c r="S24" s="220"/>
      <c r="T24" s="203" t="s">
        <v>64</v>
      </c>
      <c r="U24" s="204"/>
      <c r="V24" s="20"/>
      <c r="W24" s="21"/>
      <c r="X24" s="21"/>
      <c r="Y24" s="21"/>
      <c r="Z24" s="16"/>
      <c r="AA24" s="124"/>
      <c r="AB24" s="158"/>
      <c r="AC24" s="124"/>
      <c r="AD24" s="158"/>
      <c r="AE24" s="124"/>
      <c r="AF24" s="158"/>
      <c r="AG24" s="124"/>
      <c r="AH24" s="158"/>
      <c r="AI24" s="119"/>
      <c r="AJ24" s="12"/>
      <c r="AK24" s="12"/>
      <c r="AL24" s="12"/>
      <c r="AM24" s="12"/>
    </row>
    <row r="25">
      <c r="A25" s="205"/>
      <c r="B25" s="206"/>
      <c r="C25" s="207"/>
      <c r="D25" s="46"/>
      <c r="E25" s="46"/>
      <c r="F25" s="46"/>
      <c r="G25" s="46"/>
      <c r="H25" s="206"/>
      <c r="I25" s="206"/>
      <c r="J25" s="206"/>
      <c r="K25" s="206"/>
      <c r="L25" s="206"/>
      <c r="M25" s="206"/>
      <c r="N25" s="206"/>
      <c r="O25" s="206"/>
      <c r="P25" s="206"/>
      <c r="Q25" s="206"/>
      <c r="R25" s="209"/>
      <c r="S25" s="206"/>
      <c r="T25" s="46"/>
      <c r="U25" s="46"/>
      <c r="V25" s="21"/>
      <c r="W25" s="21"/>
      <c r="X25" s="21"/>
      <c r="Y25" s="21"/>
      <c r="Z25" s="21"/>
      <c r="AA25" s="124"/>
      <c r="AB25" s="124"/>
      <c r="AC25" s="124"/>
      <c r="AD25" s="124"/>
      <c r="AE25" s="124"/>
      <c r="AF25" s="124"/>
      <c r="AG25" s="124"/>
      <c r="AH25" s="124"/>
      <c r="AI25" s="223"/>
      <c r="AJ25" s="12"/>
      <c r="AK25" s="12"/>
      <c r="AL25" s="12"/>
      <c r="AM25" s="12"/>
    </row>
    <row r="26">
      <c r="A26" s="205"/>
      <c r="B26" s="205"/>
      <c r="C26" s="212"/>
      <c r="D26" s="21"/>
      <c r="E26" s="21"/>
      <c r="F26" s="21"/>
      <c r="G26" s="21"/>
      <c r="H26" s="205"/>
      <c r="I26" s="205"/>
      <c r="J26" s="205"/>
      <c r="K26" s="205"/>
      <c r="L26" s="205"/>
      <c r="M26" s="205"/>
      <c r="N26" s="205"/>
      <c r="O26" s="205"/>
      <c r="P26" s="205"/>
      <c r="Q26" s="205"/>
      <c r="R26" s="213" t="s">
        <v>72</v>
      </c>
      <c r="S26" s="205"/>
      <c r="T26" s="21"/>
      <c r="U26" s="21"/>
      <c r="V26" s="21"/>
      <c r="W26" s="21"/>
      <c r="X26" s="21"/>
      <c r="Y26" s="21"/>
      <c r="Z26" s="21"/>
      <c r="AA26" s="124"/>
      <c r="AB26" s="124"/>
      <c r="AC26" s="124"/>
      <c r="AD26" s="124"/>
      <c r="AE26" s="124"/>
      <c r="AF26" s="124"/>
      <c r="AG26" s="124"/>
      <c r="AH26" s="124"/>
      <c r="AI26" s="124"/>
      <c r="AJ26" s="12"/>
      <c r="AK26" s="12"/>
      <c r="AL26" s="12"/>
      <c r="AM26" s="12"/>
    </row>
    <row r="27">
      <c r="A27" s="205"/>
      <c r="B27" s="205"/>
      <c r="C27" s="205"/>
      <c r="D27" s="21"/>
      <c r="E27" s="21"/>
      <c r="F27" s="21"/>
      <c r="G27" s="21"/>
      <c r="H27" s="205"/>
      <c r="I27" s="205"/>
      <c r="J27" s="205"/>
      <c r="K27" s="205"/>
      <c r="L27" s="205"/>
      <c r="M27" s="205"/>
      <c r="N27" s="205"/>
      <c r="O27" s="205"/>
      <c r="P27" s="205"/>
      <c r="Q27" s="205"/>
      <c r="R27" s="214">
        <f>R7+R9+R11+R13+R15+R17+R19+R21+R23</f>
        <v>0</v>
      </c>
      <c r="S27" s="209"/>
      <c r="T27" s="21"/>
      <c r="U27" s="21"/>
      <c r="V27" s="21"/>
      <c r="W27" s="21"/>
      <c r="X27" s="21"/>
      <c r="Y27" s="21"/>
      <c r="Z27" s="21"/>
      <c r="AA27" s="124"/>
      <c r="AB27" s="124"/>
      <c r="AC27" s="124"/>
      <c r="AD27" s="124"/>
      <c r="AE27" s="124"/>
      <c r="AF27" s="124"/>
      <c r="AG27" s="124"/>
      <c r="AH27" s="124"/>
      <c r="AI27" s="124"/>
      <c r="AJ27" s="12"/>
      <c r="AK27" s="12"/>
      <c r="AL27" s="12"/>
      <c r="AM27" s="12"/>
    </row>
    <row r="28">
      <c r="A28" s="205"/>
      <c r="B28" s="205"/>
      <c r="C28" s="205"/>
      <c r="D28" s="205"/>
      <c r="E28" s="205"/>
      <c r="F28" s="205"/>
      <c r="G28" s="215"/>
      <c r="H28" s="205"/>
      <c r="I28" s="205"/>
      <c r="J28" s="205"/>
      <c r="K28" s="205"/>
      <c r="L28" s="205"/>
      <c r="M28" s="205"/>
      <c r="N28" s="205"/>
      <c r="O28" s="205"/>
      <c r="P28" s="205"/>
      <c r="Q28" s="21"/>
      <c r="R28" s="21"/>
      <c r="S28" s="21"/>
      <c r="T28" s="21"/>
      <c r="U28" s="21"/>
      <c r="V28" s="21"/>
      <c r="W28" s="21"/>
      <c r="X28" s="21"/>
      <c r="Y28" s="21"/>
      <c r="Z28" s="21"/>
      <c r="AA28" s="124"/>
      <c r="AB28" s="124"/>
      <c r="AC28" s="124"/>
      <c r="AD28" s="124"/>
      <c r="AE28" s="124"/>
      <c r="AF28" s="124"/>
      <c r="AG28" s="124"/>
      <c r="AH28" s="124"/>
      <c r="AI28" s="124"/>
      <c r="AJ28" s="12"/>
      <c r="AK28" s="12"/>
      <c r="AL28" s="12"/>
      <c r="AM28" s="12"/>
    </row>
    <row r="29">
      <c r="A29" s="205"/>
      <c r="B29" s="205"/>
      <c r="C29" s="205"/>
      <c r="D29" s="205"/>
      <c r="E29" s="216"/>
      <c r="F29" s="217"/>
      <c r="G29" s="215"/>
      <c r="H29" s="205"/>
      <c r="I29" s="205"/>
      <c r="J29" s="205"/>
      <c r="K29" s="205"/>
      <c r="L29" s="205"/>
      <c r="M29" s="205"/>
      <c r="N29" s="205"/>
      <c r="O29" s="205"/>
      <c r="P29" s="205"/>
      <c r="Q29" s="21"/>
      <c r="R29" s="213" t="s">
        <v>73</v>
      </c>
      <c r="S29" s="21"/>
      <c r="T29" s="21"/>
      <c r="U29" s="21"/>
      <c r="V29" s="21"/>
      <c r="W29" s="21"/>
      <c r="X29" s="21"/>
      <c r="Y29" s="21"/>
      <c r="Z29" s="21"/>
      <c r="AA29" s="124"/>
      <c r="AB29" s="124"/>
      <c r="AC29" s="124"/>
      <c r="AD29" s="124"/>
      <c r="AE29" s="124"/>
      <c r="AF29" s="124"/>
      <c r="AG29" s="124"/>
      <c r="AH29" s="124"/>
      <c r="AI29" s="124"/>
      <c r="AJ29" s="12"/>
      <c r="AK29" s="12"/>
      <c r="AL29" s="12"/>
      <c r="AM29" s="12"/>
    </row>
    <row r="30">
      <c r="A30" s="205"/>
      <c r="B30" s="205"/>
      <c r="C30" s="205"/>
      <c r="D30" s="205"/>
      <c r="E30" s="218"/>
      <c r="F30" s="217"/>
      <c r="G30" s="215"/>
      <c r="H30" s="205"/>
      <c r="I30" s="205"/>
      <c r="J30" s="205"/>
      <c r="K30" s="205"/>
      <c r="L30" s="205"/>
      <c r="M30" s="205"/>
      <c r="N30" s="205"/>
      <c r="O30" s="205"/>
      <c r="P30" s="205"/>
      <c r="Q30" s="21"/>
      <c r="R30" s="214">
        <f>R27/7</f>
        <v>0</v>
      </c>
      <c r="S30" s="21"/>
      <c r="T30" s="21"/>
      <c r="U30" s="21"/>
      <c r="V30" s="21"/>
      <c r="W30" s="21"/>
      <c r="X30" s="21"/>
      <c r="Y30" s="21"/>
      <c r="Z30" s="21"/>
      <c r="AA30" s="124"/>
      <c r="AB30" s="124"/>
      <c r="AC30" s="124"/>
      <c r="AD30" s="124"/>
      <c r="AE30" s="124"/>
      <c r="AF30" s="124"/>
      <c r="AG30" s="124"/>
      <c r="AH30" s="124"/>
      <c r="AI30" s="124"/>
      <c r="AJ30" s="12"/>
      <c r="AK30" s="12"/>
      <c r="AL30" s="12"/>
      <c r="AM30" s="12"/>
    </row>
    <row r="31">
      <c r="A31" s="205"/>
      <c r="B31" s="205"/>
      <c r="C31" s="205"/>
      <c r="D31" s="205"/>
      <c r="E31" s="205"/>
      <c r="F31" s="215"/>
      <c r="G31" s="205"/>
      <c r="H31" s="205"/>
      <c r="I31" s="205"/>
      <c r="J31" s="205"/>
      <c r="K31" s="205"/>
      <c r="L31" s="205"/>
      <c r="M31" s="205"/>
      <c r="N31" s="205"/>
      <c r="O31" s="205"/>
      <c r="P31" s="21"/>
      <c r="Q31" s="21"/>
      <c r="R31" s="21"/>
      <c r="S31" s="21"/>
      <c r="T31" s="21"/>
      <c r="U31" s="21"/>
      <c r="V31" s="21"/>
      <c r="W31" s="21"/>
      <c r="X31" s="21"/>
      <c r="Y31" s="21"/>
      <c r="Z31" s="21"/>
      <c r="AA31" s="124"/>
      <c r="AB31" s="124"/>
      <c r="AC31" s="124"/>
      <c r="AD31" s="124"/>
      <c r="AE31" s="124"/>
      <c r="AF31" s="124"/>
      <c r="AG31" s="124"/>
      <c r="AH31" s="124"/>
      <c r="AI31" s="124"/>
      <c r="AJ31" s="12"/>
      <c r="AK31" s="12"/>
      <c r="AL31" s="12"/>
      <c r="AM31" s="12"/>
    </row>
    <row r="32">
      <c r="A32" s="205"/>
      <c r="B32" s="205"/>
      <c r="C32" s="205"/>
      <c r="D32" s="205"/>
      <c r="E32" s="215"/>
      <c r="F32" s="205"/>
      <c r="G32" s="205"/>
      <c r="H32" s="205"/>
      <c r="I32" s="205"/>
      <c r="J32" s="205"/>
      <c r="K32" s="205"/>
      <c r="L32" s="205"/>
      <c r="M32" s="205"/>
      <c r="N32" s="205"/>
      <c r="O32" s="21"/>
      <c r="P32" s="21"/>
      <c r="Q32" s="21"/>
      <c r="R32" s="21"/>
      <c r="S32" s="21"/>
      <c r="T32" s="21"/>
      <c r="U32" s="21"/>
      <c r="V32" s="21"/>
      <c r="W32" s="21"/>
      <c r="X32" s="21"/>
      <c r="Y32" s="21"/>
      <c r="Z32" s="21"/>
      <c r="AA32" s="124"/>
      <c r="AB32" s="124"/>
      <c r="AC32" s="124"/>
      <c r="AD32" s="124"/>
      <c r="AE32" s="124"/>
      <c r="AF32" s="124"/>
      <c r="AG32" s="124"/>
      <c r="AH32" s="124"/>
      <c r="AI32" s="124"/>
      <c r="AJ32" s="12"/>
      <c r="AK32" s="12"/>
      <c r="AL32" s="12"/>
      <c r="AM32" s="12"/>
    </row>
    <row r="33">
      <c r="A33" s="205"/>
      <c r="B33" s="205"/>
      <c r="C33" s="216"/>
      <c r="D33" s="217"/>
      <c r="E33" s="215"/>
      <c r="F33" s="205"/>
      <c r="G33" s="205"/>
      <c r="H33" s="205"/>
      <c r="I33" s="205"/>
      <c r="J33" s="205"/>
      <c r="K33" s="205"/>
      <c r="L33" s="205"/>
      <c r="M33" s="205"/>
      <c r="N33" s="205"/>
      <c r="O33" s="21"/>
      <c r="P33" s="21"/>
      <c r="Q33" s="21"/>
      <c r="R33" s="21"/>
      <c r="S33" s="21"/>
      <c r="T33" s="21"/>
      <c r="U33" s="21"/>
      <c r="V33" s="21"/>
      <c r="W33" s="21"/>
      <c r="X33" s="21"/>
      <c r="Y33" s="124"/>
      <c r="Z33" s="124"/>
      <c r="AA33" s="124"/>
      <c r="AB33" s="124"/>
      <c r="AC33" s="124"/>
      <c r="AD33" s="124"/>
      <c r="AE33" s="124"/>
      <c r="AF33" s="124"/>
      <c r="AG33" s="124"/>
      <c r="AH33" s="124"/>
      <c r="AI33" s="124"/>
      <c r="AJ33" s="12"/>
      <c r="AK33" s="12"/>
      <c r="AL33" s="12"/>
      <c r="AM33" s="12"/>
    </row>
    <row r="34">
      <c r="A34" s="205"/>
      <c r="B34" s="205"/>
      <c r="C34" s="218"/>
      <c r="D34" s="217"/>
      <c r="E34" s="215"/>
      <c r="F34" s="205"/>
      <c r="G34" s="205"/>
      <c r="H34" s="205"/>
      <c r="I34" s="205"/>
      <c r="J34" s="205"/>
      <c r="K34" s="205"/>
      <c r="L34" s="205"/>
      <c r="M34" s="205"/>
      <c r="N34" s="205"/>
      <c r="O34" s="21"/>
      <c r="P34" s="21"/>
      <c r="Q34" s="21"/>
      <c r="R34" s="21"/>
      <c r="S34" s="21"/>
      <c r="T34" s="124"/>
      <c r="U34" s="124"/>
      <c r="V34" s="124"/>
      <c r="W34" s="124"/>
      <c r="X34" s="124"/>
      <c r="Y34" s="124"/>
      <c r="Z34" s="124"/>
      <c r="AA34" s="124"/>
      <c r="AB34" s="124"/>
      <c r="AC34" s="124"/>
      <c r="AD34" s="124"/>
      <c r="AE34" s="124"/>
      <c r="AF34" s="124"/>
      <c r="AG34" s="124"/>
      <c r="AH34" s="124"/>
      <c r="AI34" s="124"/>
      <c r="AJ34" s="124"/>
      <c r="AK34" s="124"/>
      <c r="AL34" s="124"/>
      <c r="AM34" s="124"/>
    </row>
    <row r="35">
      <c r="A35" s="205"/>
      <c r="B35" s="205"/>
      <c r="C35" s="216"/>
      <c r="D35" s="217"/>
      <c r="E35" s="215"/>
      <c r="F35" s="205"/>
      <c r="G35" s="205"/>
      <c r="H35" s="205"/>
      <c r="I35" s="205"/>
      <c r="J35" s="205"/>
      <c r="K35" s="205"/>
      <c r="L35" s="205"/>
      <c r="M35" s="205"/>
      <c r="N35" s="205"/>
      <c r="O35" s="21"/>
      <c r="P35" s="21"/>
      <c r="Q35" s="21"/>
      <c r="R35" s="21"/>
      <c r="S35" s="21"/>
      <c r="T35" s="124"/>
      <c r="U35" s="124"/>
      <c r="V35" s="158"/>
      <c r="W35" s="217"/>
      <c r="X35" s="124"/>
      <c r="Y35" s="124"/>
      <c r="Z35" s="124"/>
      <c r="AA35" s="124"/>
      <c r="AB35" s="124"/>
      <c r="AC35" s="124"/>
      <c r="AD35" s="124"/>
      <c r="AE35" s="124"/>
      <c r="AF35" s="124"/>
      <c r="AG35" s="124"/>
      <c r="AH35" s="124"/>
      <c r="AI35" s="124"/>
      <c r="AJ35" s="124"/>
      <c r="AK35" s="124"/>
      <c r="AL35" s="124"/>
      <c r="AM35" s="124"/>
    </row>
    <row r="36">
      <c r="A36" s="205"/>
      <c r="B36" s="205"/>
      <c r="C36" s="205"/>
      <c r="D36" s="205"/>
      <c r="E36" s="215"/>
      <c r="F36" s="205"/>
      <c r="G36" s="205"/>
      <c r="H36" s="205"/>
      <c r="I36" s="205"/>
      <c r="J36" s="205"/>
      <c r="K36" s="205"/>
      <c r="L36" s="205"/>
      <c r="M36" s="205"/>
      <c r="N36" s="205"/>
      <c r="O36" s="21"/>
      <c r="P36" s="21"/>
      <c r="Q36" s="21"/>
      <c r="R36" s="21"/>
      <c r="S36" s="21"/>
      <c r="T36" s="124"/>
      <c r="U36" s="124"/>
      <c r="V36" s="158"/>
      <c r="W36" s="217"/>
      <c r="X36" s="124"/>
      <c r="Y36" s="124"/>
      <c r="Z36" s="124"/>
      <c r="AA36" s="124"/>
      <c r="AB36" s="124"/>
      <c r="AC36" s="124"/>
      <c r="AD36" s="124"/>
      <c r="AE36" s="124"/>
      <c r="AF36" s="124"/>
      <c r="AG36" s="124"/>
      <c r="AH36" s="124"/>
      <c r="AI36" s="124"/>
      <c r="AJ36" s="124"/>
      <c r="AK36" s="124"/>
      <c r="AL36" s="124"/>
      <c r="AM36" s="124"/>
    </row>
    <row r="37">
      <c r="A37" s="205"/>
      <c r="B37" s="205"/>
      <c r="C37" s="205"/>
      <c r="D37" s="205"/>
      <c r="E37" s="215"/>
      <c r="F37" s="205"/>
      <c r="G37" s="205"/>
      <c r="H37" s="205"/>
      <c r="I37" s="205"/>
      <c r="J37" s="205"/>
      <c r="K37" s="205"/>
      <c r="L37" s="205"/>
      <c r="M37" s="205"/>
      <c r="N37" s="205"/>
      <c r="O37" s="21"/>
      <c r="P37" s="21"/>
      <c r="Q37" s="21"/>
      <c r="R37" s="21"/>
      <c r="S37" s="21"/>
      <c r="T37" s="205"/>
      <c r="U37" s="205"/>
      <c r="V37" s="218"/>
      <c r="W37" s="217"/>
      <c r="X37" s="215"/>
      <c r="Y37" s="205"/>
      <c r="Z37" s="205"/>
      <c r="AA37" s="205"/>
      <c r="AB37" s="205"/>
      <c r="AC37" s="205"/>
      <c r="AD37" s="205"/>
      <c r="AE37" s="205"/>
      <c r="AF37" s="205"/>
      <c r="AG37" s="205"/>
      <c r="AH37" s="21"/>
      <c r="AI37" s="21"/>
      <c r="AJ37" s="21"/>
      <c r="AK37" s="21"/>
      <c r="AL37" s="21"/>
      <c r="AM37" s="21"/>
    </row>
    <row r="38">
      <c r="A38" s="205"/>
      <c r="B38" s="205"/>
      <c r="C38" s="216"/>
      <c r="D38" s="217"/>
      <c r="E38" s="215"/>
      <c r="F38" s="205"/>
      <c r="G38" s="205"/>
      <c r="H38" s="205"/>
      <c r="I38" s="205"/>
      <c r="J38" s="205"/>
      <c r="K38" s="205"/>
      <c r="L38" s="205"/>
      <c r="M38" s="205"/>
      <c r="N38" s="205"/>
      <c r="O38" s="21"/>
      <c r="P38" s="21"/>
      <c r="Q38" s="21"/>
      <c r="R38" s="21"/>
      <c r="S38" s="21"/>
      <c r="T38" s="124"/>
      <c r="U38" s="124"/>
      <c r="V38" s="124"/>
      <c r="W38" s="124"/>
      <c r="X38" s="124"/>
      <c r="Y38" s="124"/>
      <c r="Z38" s="124"/>
      <c r="AA38" s="124"/>
      <c r="AB38" s="124"/>
      <c r="AC38" s="124"/>
      <c r="AD38" s="124"/>
      <c r="AE38" s="124"/>
      <c r="AF38" s="124"/>
      <c r="AG38" s="124"/>
      <c r="AH38" s="124"/>
      <c r="AI38" s="124"/>
      <c r="AJ38" s="124"/>
      <c r="AK38" s="124"/>
      <c r="AL38" s="124"/>
      <c r="AM38" s="124"/>
    </row>
    <row r="39">
      <c r="A39" s="205"/>
      <c r="B39" s="216"/>
      <c r="C39" s="217"/>
      <c r="D39" s="215"/>
      <c r="E39" s="205"/>
      <c r="F39" s="205"/>
      <c r="G39" s="205"/>
      <c r="H39" s="205"/>
      <c r="I39" s="205"/>
      <c r="J39" s="205"/>
      <c r="K39" s="205"/>
      <c r="L39" s="205"/>
      <c r="M39" s="205"/>
      <c r="N39" s="21"/>
      <c r="O39" s="21"/>
      <c r="P39" s="21"/>
      <c r="Q39" s="21"/>
      <c r="R39" s="21"/>
      <c r="S39" s="21"/>
      <c r="T39" s="21"/>
      <c r="U39" s="21"/>
      <c r="V39" s="21"/>
      <c r="W39" s="21"/>
      <c r="X39" s="124"/>
      <c r="Y39" s="124"/>
      <c r="Z39" s="124"/>
      <c r="AA39" s="124"/>
      <c r="AB39" s="124"/>
      <c r="AC39" s="124"/>
      <c r="AD39" s="124"/>
      <c r="AE39" s="124"/>
      <c r="AF39" s="124"/>
      <c r="AG39" s="124"/>
      <c r="AH39" s="124"/>
      <c r="AI39" s="124"/>
      <c r="AJ39" s="124"/>
      <c r="AK39" s="124"/>
      <c r="AL39" s="124"/>
      <c r="AM39" s="124"/>
    </row>
    <row r="40">
      <c r="A40" s="205"/>
      <c r="B40" s="218"/>
      <c r="C40" s="217"/>
      <c r="D40" s="215"/>
      <c r="E40" s="205"/>
      <c r="F40" s="205"/>
      <c r="G40" s="205"/>
      <c r="H40" s="205"/>
      <c r="I40" s="205"/>
      <c r="J40" s="205"/>
      <c r="K40" s="205"/>
      <c r="L40" s="205"/>
      <c r="M40" s="205"/>
      <c r="N40" s="21"/>
      <c r="O40" s="21"/>
      <c r="P40" s="21"/>
      <c r="Q40" s="205"/>
      <c r="R40" s="216"/>
      <c r="S40" s="217"/>
      <c r="T40" s="215"/>
      <c r="U40" s="205"/>
      <c r="V40" s="205"/>
      <c r="W40" s="205"/>
      <c r="X40" s="205"/>
      <c r="Y40" s="205"/>
      <c r="Z40" s="205"/>
      <c r="AA40" s="205"/>
      <c r="AB40" s="205"/>
      <c r="AC40" s="205"/>
      <c r="AD40" s="21"/>
      <c r="AE40" s="21"/>
      <c r="AF40" s="21"/>
      <c r="AG40" s="21"/>
      <c r="AH40" s="21"/>
      <c r="AI40" s="21"/>
      <c r="AJ40" s="21"/>
      <c r="AK40" s="21"/>
      <c r="AL40" s="21"/>
      <c r="AM40" s="21"/>
    </row>
    <row r="41">
      <c r="A41" s="205"/>
      <c r="B41" s="216"/>
      <c r="C41" s="217"/>
      <c r="D41" s="215"/>
      <c r="E41" s="205"/>
      <c r="F41" s="205"/>
      <c r="G41" s="205"/>
      <c r="H41" s="205"/>
      <c r="I41" s="205"/>
      <c r="J41" s="205"/>
      <c r="K41" s="205"/>
      <c r="L41" s="205"/>
      <c r="M41" s="205"/>
      <c r="N41" s="21"/>
      <c r="O41" s="21"/>
      <c r="P41" s="21"/>
      <c r="Q41" s="205"/>
      <c r="R41" s="218"/>
      <c r="S41" s="217"/>
      <c r="T41" s="215"/>
      <c r="U41" s="205"/>
      <c r="V41" s="205"/>
      <c r="W41" s="205"/>
      <c r="X41" s="205"/>
      <c r="Y41" s="205"/>
      <c r="Z41" s="205"/>
      <c r="AA41" s="205"/>
      <c r="AB41" s="205"/>
      <c r="AC41" s="205"/>
      <c r="AD41" s="21"/>
      <c r="AE41" s="21"/>
      <c r="AF41" s="21"/>
      <c r="AG41" s="21"/>
      <c r="AH41" s="21"/>
      <c r="AI41" s="124"/>
      <c r="AJ41" s="124"/>
      <c r="AK41" s="124"/>
      <c r="AL41" s="124"/>
      <c r="AM41" s="124"/>
    </row>
    <row r="42">
      <c r="A42" s="205"/>
      <c r="B42" s="205"/>
      <c r="C42" s="205"/>
      <c r="D42" s="215"/>
      <c r="E42" s="205"/>
      <c r="F42" s="205"/>
      <c r="G42" s="205"/>
      <c r="H42" s="205"/>
      <c r="I42" s="205"/>
      <c r="J42" s="205"/>
      <c r="K42" s="205"/>
      <c r="L42" s="205"/>
      <c r="M42" s="205"/>
      <c r="N42" s="21"/>
      <c r="O42" s="21"/>
      <c r="P42" s="21"/>
      <c r="Q42" s="205"/>
      <c r="R42" s="216"/>
      <c r="S42" s="217"/>
      <c r="T42" s="215"/>
      <c r="U42" s="205"/>
      <c r="V42" s="205"/>
      <c r="W42" s="205"/>
      <c r="X42" s="205"/>
      <c r="Y42" s="205"/>
      <c r="Z42" s="205"/>
      <c r="AA42" s="205"/>
      <c r="AB42" s="205"/>
      <c r="AC42" s="205"/>
      <c r="AD42" s="21"/>
      <c r="AE42" s="21"/>
      <c r="AF42" s="21"/>
      <c r="AG42" s="21"/>
      <c r="AH42" s="21"/>
      <c r="AI42" s="124"/>
      <c r="AJ42" s="124"/>
      <c r="AK42" s="158"/>
      <c r="AL42" s="217"/>
      <c r="AM42" s="124"/>
    </row>
    <row r="43">
      <c r="A43" s="205"/>
      <c r="B43" s="205"/>
      <c r="C43" s="205"/>
      <c r="D43" s="215"/>
      <c r="E43" s="205"/>
      <c r="F43" s="205"/>
      <c r="G43" s="205"/>
      <c r="H43" s="205"/>
      <c r="I43" s="205"/>
      <c r="J43" s="205"/>
      <c r="K43" s="205"/>
      <c r="L43" s="205"/>
      <c r="M43" s="205"/>
      <c r="N43" s="21"/>
      <c r="O43" s="21"/>
      <c r="P43" s="21"/>
      <c r="Q43" s="205"/>
      <c r="R43" s="205"/>
      <c r="S43" s="205"/>
      <c r="T43" s="215"/>
      <c r="U43" s="205"/>
      <c r="V43" s="205"/>
      <c r="W43" s="205"/>
      <c r="X43" s="205"/>
      <c r="Y43" s="205"/>
      <c r="Z43" s="205"/>
      <c r="AA43" s="205"/>
      <c r="AB43" s="205"/>
      <c r="AC43" s="205"/>
      <c r="AD43" s="21"/>
      <c r="AE43" s="21"/>
      <c r="AF43" s="21"/>
      <c r="AG43" s="21"/>
      <c r="AH43" s="21"/>
      <c r="AI43" s="124"/>
      <c r="AJ43" s="124"/>
      <c r="AK43" s="158"/>
      <c r="AL43" s="217"/>
      <c r="AM43" s="124"/>
    </row>
    <row r="44">
      <c r="A44" s="205"/>
      <c r="B44" s="216"/>
      <c r="C44" s="217"/>
      <c r="D44" s="215"/>
      <c r="E44" s="205"/>
      <c r="F44" s="205"/>
      <c r="G44" s="205"/>
      <c r="H44" s="205"/>
      <c r="I44" s="205"/>
      <c r="J44" s="205"/>
      <c r="K44" s="205"/>
      <c r="L44" s="205"/>
      <c r="M44" s="205"/>
      <c r="N44" s="21"/>
      <c r="O44" s="21"/>
      <c r="P44" s="21"/>
      <c r="Q44" s="205"/>
      <c r="R44" s="205"/>
      <c r="S44" s="205"/>
      <c r="T44" s="215"/>
      <c r="U44" s="205"/>
      <c r="V44" s="205"/>
      <c r="W44" s="205"/>
      <c r="X44" s="205"/>
      <c r="Y44" s="205"/>
      <c r="Z44" s="205"/>
      <c r="AA44" s="205"/>
      <c r="AB44" s="205"/>
      <c r="AC44" s="205"/>
      <c r="AD44" s="21"/>
      <c r="AE44" s="21"/>
      <c r="AF44" s="21"/>
      <c r="AG44" s="21"/>
      <c r="AH44" s="21"/>
      <c r="AI44" s="205"/>
      <c r="AJ44" s="205"/>
      <c r="AK44" s="218"/>
      <c r="AL44" s="217"/>
      <c r="AM44" s="215"/>
    </row>
    <row r="45">
      <c r="A45" s="205"/>
      <c r="B45" s="216"/>
      <c r="C45" s="217"/>
      <c r="D45" s="215"/>
      <c r="E45" s="205"/>
      <c r="F45" s="205"/>
      <c r="G45" s="205"/>
      <c r="H45" s="205"/>
      <c r="I45" s="205"/>
      <c r="J45" s="205"/>
      <c r="K45" s="205"/>
      <c r="L45" s="205"/>
      <c r="M45" s="205"/>
      <c r="N45" s="21"/>
      <c r="O45" s="21"/>
      <c r="P45" s="21"/>
      <c r="Q45" s="205"/>
      <c r="R45" s="216"/>
      <c r="S45" s="217"/>
      <c r="T45" s="215"/>
      <c r="U45" s="205"/>
      <c r="V45" s="205"/>
      <c r="W45" s="205"/>
      <c r="X45" s="205"/>
      <c r="Y45" s="205"/>
      <c r="Z45" s="205"/>
      <c r="AA45" s="205"/>
      <c r="AB45" s="205"/>
      <c r="AC45" s="205"/>
      <c r="AD45" s="21"/>
      <c r="AE45" s="21"/>
      <c r="AF45" s="21"/>
      <c r="AG45" s="21"/>
      <c r="AH45" s="21"/>
      <c r="AI45" s="124"/>
      <c r="AJ45" s="124"/>
      <c r="AK45" s="124"/>
      <c r="AL45" s="124"/>
      <c r="AM45" s="124"/>
    </row>
    <row r="46">
      <c r="A46" s="205"/>
      <c r="B46" s="218"/>
      <c r="C46" s="217"/>
      <c r="D46" s="215"/>
      <c r="E46" s="205"/>
      <c r="F46" s="205"/>
      <c r="G46" s="205"/>
      <c r="H46" s="205"/>
      <c r="I46" s="205"/>
      <c r="J46" s="205"/>
      <c r="K46" s="205"/>
      <c r="L46" s="205"/>
      <c r="M46" s="205"/>
      <c r="N46" s="21"/>
      <c r="O46" s="21"/>
      <c r="P46" s="21"/>
      <c r="Q46" s="205"/>
      <c r="R46" s="216"/>
      <c r="S46" s="217"/>
      <c r="T46" s="215"/>
      <c r="U46" s="205"/>
      <c r="V46" s="205"/>
      <c r="W46" s="205"/>
      <c r="X46" s="205"/>
      <c r="Y46" s="205"/>
      <c r="Z46" s="205"/>
      <c r="AA46" s="205"/>
      <c r="AB46" s="205"/>
      <c r="AC46" s="205"/>
      <c r="AD46" s="21"/>
      <c r="AE46" s="21"/>
      <c r="AF46" s="21"/>
      <c r="AG46" s="21"/>
      <c r="AH46" s="21"/>
      <c r="AI46" s="21"/>
      <c r="AJ46" s="21"/>
      <c r="AK46" s="21"/>
      <c r="AL46" s="21"/>
      <c r="AM46" s="21"/>
    </row>
    <row r="47">
      <c r="A47" s="205"/>
      <c r="B47" s="216"/>
      <c r="C47" s="217"/>
      <c r="D47" s="215"/>
      <c r="E47" s="205"/>
      <c r="F47" s="205"/>
      <c r="G47" s="205"/>
      <c r="H47" s="205"/>
      <c r="I47" s="205"/>
      <c r="J47" s="205"/>
      <c r="K47" s="205"/>
      <c r="L47" s="205"/>
      <c r="M47" s="205"/>
      <c r="N47" s="21"/>
      <c r="O47" s="21"/>
      <c r="P47" s="21"/>
      <c r="Q47" s="205"/>
      <c r="R47" s="218"/>
      <c r="S47" s="217"/>
      <c r="T47" s="215"/>
      <c r="U47" s="205"/>
      <c r="V47" s="205"/>
      <c r="W47" s="205"/>
      <c r="X47" s="205"/>
      <c r="Y47" s="205"/>
      <c r="Z47" s="205"/>
      <c r="AA47" s="205"/>
      <c r="AB47" s="205"/>
      <c r="AC47" s="205"/>
      <c r="AD47" s="21"/>
      <c r="AE47" s="21"/>
      <c r="AF47" s="21"/>
      <c r="AG47" s="21"/>
      <c r="AH47" s="21"/>
      <c r="AI47" s="124"/>
      <c r="AJ47" s="124"/>
      <c r="AK47" s="124"/>
      <c r="AL47" s="124"/>
      <c r="AM47" s="124"/>
    </row>
    <row r="48">
      <c r="A48" s="205"/>
      <c r="B48" s="205"/>
      <c r="C48" s="205"/>
      <c r="D48" s="215"/>
      <c r="E48" s="205"/>
      <c r="F48" s="205"/>
      <c r="G48" s="205"/>
      <c r="H48" s="205"/>
      <c r="I48" s="205"/>
      <c r="J48" s="205"/>
      <c r="K48" s="205"/>
      <c r="L48" s="205"/>
      <c r="M48" s="205"/>
      <c r="N48" s="21"/>
      <c r="O48" s="21"/>
      <c r="P48" s="21"/>
      <c r="Q48" s="205"/>
      <c r="R48" s="216"/>
      <c r="S48" s="217"/>
      <c r="T48" s="215"/>
      <c r="U48" s="205"/>
      <c r="V48" s="205"/>
      <c r="W48" s="205"/>
      <c r="X48" s="205"/>
      <c r="Y48" s="205"/>
      <c r="Z48" s="205"/>
      <c r="AA48" s="205"/>
      <c r="AB48" s="205"/>
      <c r="AC48" s="205"/>
      <c r="AD48" s="21"/>
      <c r="AE48" s="21"/>
      <c r="AF48" s="21"/>
      <c r="AG48" s="21"/>
      <c r="AH48" s="21"/>
      <c r="AI48" s="124"/>
      <c r="AJ48" s="124"/>
      <c r="AK48" s="158"/>
      <c r="AL48" s="217"/>
      <c r="AM48" s="124"/>
    </row>
    <row r="49">
      <c r="A49" s="205"/>
      <c r="B49" s="205"/>
      <c r="C49" s="205"/>
      <c r="D49" s="215"/>
      <c r="E49" s="205"/>
      <c r="F49" s="205"/>
      <c r="G49" s="205"/>
      <c r="H49" s="205"/>
      <c r="I49" s="205"/>
      <c r="J49" s="205"/>
      <c r="K49" s="205"/>
      <c r="L49" s="205"/>
      <c r="M49" s="205"/>
      <c r="N49" s="21"/>
      <c r="O49" s="21"/>
      <c r="P49" s="21"/>
      <c r="Q49" s="205"/>
      <c r="R49" s="205"/>
      <c r="S49" s="205"/>
      <c r="T49" s="215"/>
      <c r="U49" s="205"/>
      <c r="V49" s="205"/>
      <c r="W49" s="205"/>
      <c r="X49" s="205"/>
      <c r="Y49" s="205"/>
      <c r="Z49" s="205"/>
      <c r="AA49" s="205"/>
      <c r="AB49" s="205"/>
      <c r="AC49" s="205"/>
      <c r="AD49" s="21"/>
      <c r="AE49" s="21"/>
      <c r="AF49" s="21"/>
      <c r="AG49" s="21"/>
      <c r="AH49" s="21"/>
      <c r="AI49" s="124"/>
      <c r="AJ49" s="124"/>
      <c r="AK49" s="158"/>
      <c r="AL49" s="217"/>
      <c r="AM49" s="124"/>
    </row>
    <row r="50">
      <c r="A50" s="205"/>
      <c r="B50" s="218"/>
      <c r="C50" s="217"/>
      <c r="D50" s="215"/>
      <c r="E50" s="205"/>
      <c r="F50" s="205"/>
      <c r="G50" s="205"/>
      <c r="H50" s="205"/>
      <c r="I50" s="205"/>
      <c r="J50" s="205"/>
      <c r="K50" s="205"/>
      <c r="L50" s="205"/>
      <c r="M50" s="205"/>
      <c r="N50" s="21"/>
      <c r="O50" s="21"/>
      <c r="P50" s="21"/>
      <c r="Q50" s="21"/>
      <c r="R50" s="21"/>
      <c r="S50" s="124"/>
      <c r="T50" s="124"/>
      <c r="U50" s="124"/>
      <c r="V50" s="124"/>
      <c r="W50" s="205"/>
      <c r="X50" s="205"/>
      <c r="Y50" s="205"/>
      <c r="Z50" s="205"/>
      <c r="AA50" s="205"/>
      <c r="AB50" s="205"/>
      <c r="AC50" s="205"/>
      <c r="AD50" s="21"/>
      <c r="AE50" s="21"/>
      <c r="AF50" s="21"/>
      <c r="AG50" s="21"/>
      <c r="AH50" s="21"/>
      <c r="AI50" s="205"/>
      <c r="AJ50" s="205"/>
      <c r="AK50" s="218"/>
      <c r="AL50" s="217"/>
      <c r="AM50" s="215"/>
    </row>
    <row r="51">
      <c r="A51" s="205"/>
      <c r="B51" s="216"/>
      <c r="C51" s="217"/>
      <c r="D51" s="215"/>
      <c r="E51" s="205"/>
      <c r="F51" s="205"/>
      <c r="G51" s="205"/>
      <c r="H51" s="205"/>
      <c r="I51" s="205"/>
      <c r="J51" s="205"/>
      <c r="K51" s="205"/>
      <c r="L51" s="205"/>
      <c r="M51" s="205"/>
      <c r="N51" s="21"/>
      <c r="O51" s="21"/>
      <c r="P51" s="21"/>
      <c r="Q51" s="21"/>
      <c r="R51" s="21"/>
      <c r="S51" s="124"/>
      <c r="T51" s="124"/>
      <c r="U51" s="158"/>
      <c r="V51" s="217"/>
      <c r="W51" s="205"/>
      <c r="X51" s="205"/>
      <c r="Y51" s="205"/>
      <c r="Z51" s="205"/>
      <c r="AA51" s="205"/>
      <c r="AB51" s="205"/>
      <c r="AC51" s="205"/>
      <c r="AD51" s="21"/>
      <c r="AE51" s="21"/>
      <c r="AF51" s="21"/>
      <c r="AG51" s="21"/>
      <c r="AH51" s="21"/>
      <c r="AI51" s="124"/>
      <c r="AJ51" s="124"/>
      <c r="AK51" s="124"/>
      <c r="AL51" s="124"/>
      <c r="AM51" s="124"/>
    </row>
    <row r="52">
      <c r="A52" s="205"/>
      <c r="B52" s="205"/>
      <c r="C52" s="205"/>
      <c r="D52" s="215"/>
      <c r="E52" s="205"/>
      <c r="F52" s="205"/>
      <c r="G52" s="205"/>
      <c r="H52" s="205"/>
      <c r="I52" s="205"/>
      <c r="J52" s="205"/>
      <c r="K52" s="205"/>
      <c r="L52" s="205"/>
      <c r="M52" s="205"/>
      <c r="N52" s="21"/>
      <c r="O52" s="21"/>
      <c r="P52" s="21"/>
      <c r="Q52" s="21"/>
      <c r="R52" s="21"/>
      <c r="S52" s="124"/>
      <c r="T52" s="124"/>
      <c r="U52" s="158"/>
      <c r="V52" s="217"/>
      <c r="W52" s="12"/>
      <c r="X52" s="12"/>
      <c r="Y52" s="12"/>
      <c r="Z52" s="12"/>
      <c r="AA52" s="12"/>
      <c r="AB52" s="12"/>
      <c r="AC52" s="12"/>
      <c r="AD52" s="12"/>
      <c r="AE52" s="12"/>
      <c r="AF52" s="12"/>
      <c r="AG52" s="12"/>
      <c r="AH52" s="12"/>
      <c r="AI52" s="12"/>
      <c r="AJ52" s="12"/>
      <c r="AK52" s="12"/>
      <c r="AL52" s="12"/>
      <c r="AM52" s="12"/>
    </row>
    <row r="53">
      <c r="A53" s="205"/>
      <c r="B53" s="205"/>
      <c r="C53" s="205"/>
      <c r="D53" s="215"/>
      <c r="E53" s="205"/>
      <c r="F53" s="205"/>
      <c r="G53" s="205"/>
      <c r="H53" s="205"/>
      <c r="I53" s="205"/>
      <c r="J53" s="218"/>
      <c r="K53" s="217"/>
      <c r="L53" s="215"/>
      <c r="M53" s="205"/>
      <c r="N53" s="205"/>
      <c r="O53" s="205"/>
      <c r="P53" s="205"/>
      <c r="Q53" s="205"/>
      <c r="R53" s="205"/>
      <c r="S53" s="205"/>
      <c r="T53" s="205"/>
      <c r="U53" s="205"/>
      <c r="V53" s="21"/>
      <c r="W53" s="21"/>
      <c r="X53" s="21"/>
      <c r="Y53" s="21"/>
      <c r="Z53" s="21"/>
      <c r="AA53" s="124"/>
      <c r="AB53" s="124"/>
      <c r="AC53" s="124"/>
      <c r="AD53" s="124"/>
      <c r="AE53" s="12"/>
      <c r="AF53" s="12"/>
      <c r="AG53" s="12"/>
      <c r="AH53" s="12"/>
      <c r="AI53" s="12"/>
      <c r="AJ53" s="12"/>
      <c r="AK53" s="12"/>
      <c r="AL53" s="12"/>
      <c r="AM53" s="12"/>
    </row>
    <row r="54">
      <c r="A54" s="205"/>
      <c r="B54" s="216"/>
      <c r="C54" s="217"/>
      <c r="D54" s="215"/>
      <c r="E54" s="205"/>
      <c r="F54" s="205"/>
      <c r="G54" s="205"/>
      <c r="H54" s="205"/>
      <c r="I54" s="205"/>
      <c r="J54" s="216"/>
      <c r="K54" s="217"/>
      <c r="L54" s="215"/>
      <c r="M54" s="205"/>
      <c r="N54" s="205"/>
      <c r="O54" s="205"/>
      <c r="P54" s="205"/>
      <c r="Q54" s="205"/>
      <c r="R54" s="205"/>
      <c r="S54" s="205"/>
      <c r="T54" s="205"/>
      <c r="U54" s="205"/>
      <c r="V54" s="21"/>
      <c r="W54" s="21"/>
      <c r="X54" s="21"/>
      <c r="Y54" s="21"/>
      <c r="Z54" s="21"/>
      <c r="AA54" s="124"/>
      <c r="AB54" s="124"/>
      <c r="AC54" s="158"/>
      <c r="AD54" s="217"/>
      <c r="AE54" s="12"/>
      <c r="AF54" s="12"/>
      <c r="AG54" s="12"/>
      <c r="AH54" s="12"/>
      <c r="AI54" s="12"/>
      <c r="AJ54" s="12"/>
      <c r="AK54" s="12"/>
      <c r="AL54" s="12"/>
      <c r="AM54" s="12"/>
    </row>
    <row r="55">
      <c r="A55" s="216"/>
      <c r="B55" s="217"/>
      <c r="C55" s="215"/>
      <c r="D55" s="205"/>
      <c r="E55" s="205"/>
      <c r="F55" s="205"/>
      <c r="G55" s="205"/>
      <c r="H55" s="205"/>
      <c r="I55" s="205"/>
      <c r="J55" s="205"/>
      <c r="K55" s="205"/>
      <c r="L55" s="215"/>
      <c r="M55" s="205"/>
      <c r="N55" s="205"/>
      <c r="O55" s="205"/>
      <c r="P55" s="205"/>
      <c r="Q55" s="205"/>
      <c r="R55" s="205"/>
      <c r="S55" s="205"/>
      <c r="T55" s="205"/>
      <c r="U55" s="205"/>
      <c r="V55" s="21"/>
      <c r="W55" s="21"/>
      <c r="X55" s="21"/>
      <c r="Y55" s="21"/>
      <c r="Z55" s="21"/>
      <c r="AA55" s="124"/>
      <c r="AB55" s="124"/>
      <c r="AC55" s="158"/>
      <c r="AD55" s="217"/>
      <c r="AE55" s="12"/>
      <c r="AF55" s="12"/>
      <c r="AG55" s="12"/>
      <c r="AH55" s="12"/>
      <c r="AI55" s="12"/>
      <c r="AJ55" s="12"/>
      <c r="AK55" s="12"/>
      <c r="AL55" s="12"/>
      <c r="AM55" s="12"/>
    </row>
    <row r="56">
      <c r="A56" s="218"/>
      <c r="B56" s="217"/>
      <c r="C56" s="215"/>
      <c r="D56" s="205"/>
      <c r="E56" s="205"/>
      <c r="F56" s="205"/>
      <c r="G56" s="205"/>
      <c r="H56" s="205"/>
      <c r="I56" s="205"/>
      <c r="J56" s="205"/>
      <c r="K56" s="205"/>
      <c r="L56" s="215"/>
      <c r="M56" s="205"/>
      <c r="N56" s="205"/>
      <c r="O56" s="205"/>
      <c r="P56" s="205"/>
      <c r="Q56" s="205"/>
      <c r="R56" s="205"/>
      <c r="S56" s="205"/>
      <c r="T56" s="205"/>
      <c r="U56" s="205"/>
      <c r="V56" s="21"/>
      <c r="W56" s="21"/>
      <c r="X56" s="21"/>
      <c r="Y56" s="21"/>
      <c r="Z56" s="21"/>
      <c r="AA56" s="205"/>
      <c r="AB56" s="205"/>
      <c r="AC56" s="218"/>
      <c r="AD56" s="217"/>
      <c r="AE56" s="12"/>
      <c r="AF56" s="12"/>
      <c r="AG56" s="12"/>
      <c r="AH56" s="12"/>
      <c r="AI56" s="12"/>
      <c r="AJ56" s="12"/>
      <c r="AK56" s="12"/>
      <c r="AL56" s="12"/>
      <c r="AM56" s="12"/>
    </row>
    <row r="57">
      <c r="A57" s="216"/>
      <c r="B57" s="217"/>
      <c r="C57" s="215"/>
      <c r="D57" s="205"/>
      <c r="E57" s="205"/>
      <c r="F57" s="205"/>
      <c r="G57" s="205"/>
      <c r="H57" s="205"/>
      <c r="I57" s="205"/>
      <c r="J57" s="216"/>
      <c r="K57" s="217"/>
      <c r="L57" s="215"/>
      <c r="M57" s="205"/>
      <c r="N57" s="205"/>
      <c r="O57" s="205"/>
      <c r="P57" s="205"/>
      <c r="Q57" s="205"/>
      <c r="R57" s="205"/>
      <c r="S57" s="205"/>
      <c r="T57" s="205"/>
      <c r="U57" s="205"/>
      <c r="V57" s="21"/>
      <c r="W57" s="21"/>
      <c r="X57" s="21"/>
      <c r="Y57" s="21"/>
      <c r="Z57" s="21"/>
      <c r="AA57" s="124"/>
      <c r="AB57" s="124"/>
      <c r="AC57" s="124"/>
      <c r="AD57" s="124"/>
      <c r="AE57" s="12"/>
      <c r="AF57" s="12"/>
      <c r="AG57" s="12"/>
      <c r="AH57" s="12"/>
      <c r="AI57" s="12"/>
      <c r="AJ57" s="12"/>
      <c r="AK57" s="12"/>
      <c r="AL57" s="12"/>
      <c r="AM57" s="12"/>
    </row>
    <row r="58">
      <c r="A58" s="205"/>
      <c r="B58" s="205"/>
      <c r="C58" s="215"/>
      <c r="D58" s="205"/>
      <c r="E58" s="205"/>
      <c r="F58" s="205"/>
      <c r="G58" s="205"/>
      <c r="H58" s="205"/>
      <c r="I58" s="216"/>
      <c r="J58" s="217"/>
      <c r="K58" s="215"/>
      <c r="L58" s="205"/>
      <c r="M58" s="205"/>
      <c r="N58" s="205"/>
      <c r="O58" s="205"/>
      <c r="P58" s="205"/>
      <c r="Q58" s="205"/>
      <c r="R58" s="205"/>
      <c r="S58" s="205"/>
      <c r="T58" s="205"/>
      <c r="U58" s="21"/>
      <c r="V58" s="21"/>
      <c r="W58" s="21"/>
      <c r="X58" s="21"/>
      <c r="Y58" s="21"/>
      <c r="Z58" s="21"/>
      <c r="AA58" s="21"/>
      <c r="AB58" s="21"/>
      <c r="AC58" s="21"/>
      <c r="AD58" s="21"/>
      <c r="AE58" s="12"/>
      <c r="AF58" s="12"/>
      <c r="AG58" s="12"/>
      <c r="AH58" s="12"/>
      <c r="AI58" s="12"/>
      <c r="AJ58" s="12"/>
      <c r="AK58" s="12"/>
      <c r="AL58" s="12"/>
      <c r="AM58" s="12"/>
    </row>
    <row r="59">
      <c r="A59" s="205"/>
      <c r="B59" s="205"/>
      <c r="C59" s="215"/>
      <c r="D59" s="205"/>
      <c r="E59" s="205"/>
      <c r="F59" s="205"/>
      <c r="G59" s="205"/>
      <c r="H59" s="205"/>
      <c r="I59" s="218"/>
      <c r="J59" s="217"/>
      <c r="K59" s="215"/>
      <c r="L59" s="205"/>
      <c r="M59" s="205"/>
      <c r="N59" s="205"/>
      <c r="O59" s="205"/>
      <c r="P59" s="205"/>
      <c r="Q59" s="205"/>
      <c r="R59" s="205"/>
      <c r="S59" s="205"/>
      <c r="T59" s="205"/>
      <c r="U59" s="21"/>
      <c r="V59" s="21"/>
      <c r="W59" s="21"/>
      <c r="X59" s="205"/>
      <c r="Y59" s="216"/>
      <c r="Z59" s="217"/>
      <c r="AA59" s="215"/>
      <c r="AB59" s="205"/>
      <c r="AC59" s="205"/>
      <c r="AD59" s="205"/>
      <c r="AE59" s="12"/>
      <c r="AF59" s="12"/>
      <c r="AG59" s="12"/>
      <c r="AH59" s="12"/>
      <c r="AI59" s="12"/>
      <c r="AJ59" s="12"/>
      <c r="AK59" s="12"/>
      <c r="AL59" s="12"/>
      <c r="AM59" s="12"/>
    </row>
    <row r="60">
      <c r="A60" s="216"/>
      <c r="B60" s="217"/>
      <c r="C60" s="215"/>
      <c r="D60" s="205"/>
      <c r="E60" s="205"/>
      <c r="F60" s="205"/>
      <c r="G60" s="205"/>
      <c r="H60" s="205"/>
      <c r="I60" s="216"/>
      <c r="J60" s="217"/>
      <c r="K60" s="215"/>
      <c r="L60" s="205"/>
      <c r="M60" s="205"/>
      <c r="N60" s="205"/>
      <c r="O60" s="205"/>
      <c r="P60" s="205"/>
      <c r="Q60" s="205"/>
      <c r="R60" s="205"/>
      <c r="S60" s="205"/>
      <c r="T60" s="205"/>
      <c r="U60" s="21"/>
      <c r="V60" s="21"/>
      <c r="W60" s="21"/>
      <c r="X60" s="205"/>
      <c r="Y60" s="218"/>
      <c r="Z60" s="217"/>
      <c r="AA60" s="215"/>
      <c r="AB60" s="205"/>
      <c r="AC60" s="205"/>
      <c r="AD60" s="205"/>
      <c r="AE60" s="12"/>
      <c r="AF60" s="12"/>
      <c r="AG60" s="12"/>
      <c r="AH60" s="12"/>
      <c r="AI60" s="12"/>
      <c r="AJ60" s="12"/>
      <c r="AK60" s="12"/>
      <c r="AL60" s="12"/>
      <c r="AM60" s="12"/>
    </row>
    <row r="61">
      <c r="A61" s="216"/>
      <c r="B61" s="217"/>
      <c r="C61" s="215"/>
      <c r="D61" s="205"/>
      <c r="E61" s="205"/>
      <c r="F61" s="205"/>
      <c r="G61" s="205"/>
      <c r="H61" s="205"/>
      <c r="I61" s="205"/>
      <c r="J61" s="205"/>
      <c r="K61" s="215"/>
      <c r="L61" s="205"/>
      <c r="M61" s="205"/>
      <c r="N61" s="205"/>
      <c r="O61" s="205"/>
      <c r="P61" s="205"/>
      <c r="Q61" s="205"/>
      <c r="R61" s="205"/>
      <c r="S61" s="205"/>
      <c r="T61" s="205"/>
      <c r="U61" s="21"/>
      <c r="V61" s="21"/>
      <c r="W61" s="21"/>
      <c r="X61" s="205"/>
      <c r="Y61" s="216"/>
      <c r="Z61" s="217"/>
      <c r="AA61" s="215"/>
      <c r="AB61" s="205"/>
      <c r="AC61" s="205"/>
      <c r="AD61" s="205"/>
      <c r="AE61" s="12"/>
      <c r="AF61" s="12"/>
      <c r="AG61" s="12"/>
      <c r="AH61" s="12"/>
      <c r="AI61" s="12"/>
      <c r="AJ61" s="12"/>
      <c r="AK61" s="12"/>
      <c r="AL61" s="12"/>
      <c r="AM61" s="12"/>
    </row>
    <row r="62">
      <c r="A62" s="218"/>
      <c r="B62" s="217"/>
      <c r="C62" s="215"/>
      <c r="D62" s="205"/>
      <c r="E62" s="205"/>
      <c r="F62" s="205"/>
      <c r="G62" s="205"/>
      <c r="H62" s="205"/>
      <c r="I62" s="205"/>
      <c r="J62" s="205"/>
      <c r="K62" s="215"/>
      <c r="L62" s="205"/>
      <c r="M62" s="205"/>
      <c r="N62" s="205"/>
      <c r="O62" s="205"/>
      <c r="P62" s="205"/>
      <c r="Q62" s="205"/>
      <c r="R62" s="205"/>
      <c r="S62" s="205"/>
      <c r="T62" s="205"/>
      <c r="U62" s="21"/>
      <c r="V62" s="21"/>
      <c r="W62" s="21"/>
      <c r="X62" s="205"/>
      <c r="Y62" s="205"/>
      <c r="Z62" s="205"/>
      <c r="AA62" s="215"/>
      <c r="AB62" s="205"/>
      <c r="AC62" s="205"/>
      <c r="AD62" s="205"/>
      <c r="AE62" s="12"/>
      <c r="AF62" s="12"/>
      <c r="AG62" s="12"/>
      <c r="AH62" s="12"/>
      <c r="AI62" s="12"/>
      <c r="AJ62" s="12"/>
      <c r="AK62" s="12"/>
      <c r="AL62" s="12"/>
      <c r="AM62" s="12"/>
    </row>
    <row r="63">
      <c r="A63" s="12"/>
      <c r="B63" s="12"/>
      <c r="C63" s="12"/>
      <c r="D63" s="12"/>
      <c r="E63" s="12"/>
      <c r="F63" s="12"/>
      <c r="G63" s="12"/>
      <c r="H63" s="12"/>
      <c r="I63" s="216"/>
      <c r="J63" s="217"/>
      <c r="K63" s="215"/>
      <c r="L63" s="205"/>
      <c r="M63" s="205"/>
      <c r="N63" s="205"/>
      <c r="O63" s="205"/>
      <c r="P63" s="205"/>
      <c r="Q63" s="205"/>
      <c r="R63" s="205"/>
      <c r="S63" s="205"/>
      <c r="T63" s="205"/>
      <c r="U63" s="21"/>
      <c r="V63" s="21"/>
      <c r="W63" s="21"/>
      <c r="X63" s="205"/>
      <c r="Y63" s="205"/>
      <c r="Z63" s="205"/>
      <c r="AA63" s="215"/>
      <c r="AB63" s="205"/>
      <c r="AC63" s="205"/>
      <c r="AD63" s="205"/>
      <c r="AE63" s="12"/>
      <c r="AF63" s="12"/>
      <c r="AG63" s="12"/>
      <c r="AH63" s="12"/>
      <c r="AI63" s="12"/>
      <c r="AJ63" s="12"/>
      <c r="AK63" s="12"/>
      <c r="AL63" s="12"/>
      <c r="AM63" s="12"/>
    </row>
    <row r="64">
      <c r="A64" s="12"/>
      <c r="B64" s="12"/>
      <c r="C64" s="12"/>
      <c r="D64" s="12"/>
      <c r="E64" s="12"/>
      <c r="F64" s="12"/>
      <c r="G64" s="12"/>
      <c r="H64" s="12"/>
      <c r="I64" s="216"/>
      <c r="J64" s="217"/>
      <c r="K64" s="215"/>
      <c r="L64" s="205"/>
      <c r="M64" s="205"/>
      <c r="N64" s="205"/>
      <c r="O64" s="205"/>
      <c r="P64" s="205"/>
      <c r="Q64" s="205"/>
      <c r="R64" s="205"/>
      <c r="S64" s="205"/>
      <c r="T64" s="205"/>
      <c r="U64" s="21"/>
      <c r="V64" s="21"/>
      <c r="W64" s="21"/>
      <c r="X64" s="205"/>
      <c r="Y64" s="216"/>
      <c r="Z64" s="217"/>
      <c r="AA64" s="215"/>
      <c r="AB64" s="205"/>
      <c r="AC64" s="205"/>
      <c r="AD64" s="205"/>
      <c r="AE64" s="12"/>
      <c r="AF64" s="12"/>
      <c r="AG64" s="12"/>
      <c r="AH64" s="12"/>
      <c r="AI64" s="12"/>
      <c r="AJ64" s="12"/>
      <c r="AK64" s="12"/>
      <c r="AL64" s="12"/>
      <c r="AM64" s="12"/>
    </row>
    <row r="65">
      <c r="A65" s="12"/>
      <c r="B65" s="12"/>
      <c r="C65" s="12"/>
      <c r="D65" s="12"/>
      <c r="E65" s="12"/>
      <c r="F65" s="12"/>
      <c r="G65" s="12"/>
      <c r="H65" s="12"/>
      <c r="I65" s="218"/>
      <c r="J65" s="217"/>
      <c r="K65" s="215"/>
      <c r="L65" s="205"/>
      <c r="M65" s="205"/>
      <c r="N65" s="205"/>
      <c r="O65" s="205"/>
      <c r="P65" s="205"/>
      <c r="Q65" s="205"/>
      <c r="R65" s="205"/>
      <c r="S65" s="205"/>
      <c r="T65" s="205"/>
      <c r="U65" s="21"/>
      <c r="V65" s="21"/>
      <c r="W65" s="21"/>
      <c r="X65" s="205"/>
      <c r="Y65" s="216"/>
      <c r="Z65" s="217"/>
      <c r="AA65" s="215"/>
      <c r="AB65" s="205"/>
      <c r="AC65" s="205"/>
      <c r="AD65" s="205"/>
      <c r="AE65" s="12"/>
      <c r="AF65" s="12"/>
      <c r="AG65" s="12"/>
      <c r="AH65" s="12"/>
      <c r="AI65" s="12"/>
      <c r="AJ65" s="12"/>
      <c r="AK65" s="12"/>
      <c r="AL65" s="12"/>
      <c r="AM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row>
  </sheetData>
  <mergeCells count="115">
    <mergeCell ref="J3:K3"/>
    <mergeCell ref="L3:M3"/>
    <mergeCell ref="B3:C3"/>
    <mergeCell ref="B4:C4"/>
    <mergeCell ref="D4:E4"/>
    <mergeCell ref="F4:G4"/>
    <mergeCell ref="H4:I4"/>
    <mergeCell ref="J4:K4"/>
    <mergeCell ref="L4:M4"/>
    <mergeCell ref="N4:O4"/>
    <mergeCell ref="B5:M5"/>
    <mergeCell ref="B6:D6"/>
    <mergeCell ref="E6:G6"/>
    <mergeCell ref="O6:Q6"/>
    <mergeCell ref="T6:U6"/>
    <mergeCell ref="N3:O3"/>
    <mergeCell ref="T7:U7"/>
    <mergeCell ref="B8:D8"/>
    <mergeCell ref="T8:U8"/>
    <mergeCell ref="B9:D9"/>
    <mergeCell ref="T9:U9"/>
    <mergeCell ref="B10:D10"/>
    <mergeCell ref="T10:U10"/>
    <mergeCell ref="B11:D11"/>
    <mergeCell ref="T11:U11"/>
    <mergeCell ref="B12:D12"/>
    <mergeCell ref="T12:U12"/>
    <mergeCell ref="B14:D14"/>
    <mergeCell ref="B15:D15"/>
    <mergeCell ref="E13:G18"/>
    <mergeCell ref="T13:U13"/>
    <mergeCell ref="T14:U14"/>
    <mergeCell ref="T15:U15"/>
    <mergeCell ref="T16:U16"/>
    <mergeCell ref="T17:U17"/>
    <mergeCell ref="T18:U18"/>
    <mergeCell ref="A1:A24"/>
    <mergeCell ref="B1:V1"/>
    <mergeCell ref="B2:O2"/>
    <mergeCell ref="D3:E3"/>
    <mergeCell ref="F3:G3"/>
    <mergeCell ref="H3:I3"/>
    <mergeCell ref="B22:D22"/>
    <mergeCell ref="B16:D16"/>
    <mergeCell ref="B17:D17"/>
    <mergeCell ref="B18:D18"/>
    <mergeCell ref="B20:D20"/>
    <mergeCell ref="C33:D33"/>
    <mergeCell ref="C34:D34"/>
    <mergeCell ref="C35:D35"/>
    <mergeCell ref="C38:D38"/>
    <mergeCell ref="B39:C39"/>
    <mergeCell ref="A57:B57"/>
    <mergeCell ref="A60:B60"/>
    <mergeCell ref="A61:B61"/>
    <mergeCell ref="A62:B62"/>
    <mergeCell ref="B46:C46"/>
    <mergeCell ref="B47:C47"/>
    <mergeCell ref="B50:C50"/>
    <mergeCell ref="B51:C51"/>
    <mergeCell ref="B54:C54"/>
    <mergeCell ref="A55:B55"/>
    <mergeCell ref="A56:B56"/>
    <mergeCell ref="R42:S42"/>
    <mergeCell ref="R45:S45"/>
    <mergeCell ref="R46:S46"/>
    <mergeCell ref="R47:S47"/>
    <mergeCell ref="AK48:AL48"/>
    <mergeCell ref="AK49:AL49"/>
    <mergeCell ref="AK50:AL50"/>
    <mergeCell ref="J54:K54"/>
    <mergeCell ref="J57:K57"/>
    <mergeCell ref="I58:J58"/>
    <mergeCell ref="I59:J59"/>
    <mergeCell ref="I60:J60"/>
    <mergeCell ref="I63:J63"/>
    <mergeCell ref="I64:J64"/>
    <mergeCell ref="I65:J65"/>
    <mergeCell ref="Y59:Z59"/>
    <mergeCell ref="Y60:Z60"/>
    <mergeCell ref="Y61:Z61"/>
    <mergeCell ref="Y64:Z64"/>
    <mergeCell ref="Y65:Z65"/>
    <mergeCell ref="R48:S48"/>
    <mergeCell ref="U51:V51"/>
    <mergeCell ref="U52:V52"/>
    <mergeCell ref="J53:K53"/>
    <mergeCell ref="AC54:AD54"/>
    <mergeCell ref="AC55:AD55"/>
    <mergeCell ref="AC56:AD56"/>
    <mergeCell ref="E7:G12"/>
    <mergeCell ref="E19:G24"/>
    <mergeCell ref="E29:F29"/>
    <mergeCell ref="E30:F30"/>
    <mergeCell ref="T20:U20"/>
    <mergeCell ref="B21:D21"/>
    <mergeCell ref="T21:U21"/>
    <mergeCell ref="B23:D23"/>
    <mergeCell ref="T23:U23"/>
    <mergeCell ref="B24:D24"/>
    <mergeCell ref="T24:U24"/>
    <mergeCell ref="B40:C40"/>
    <mergeCell ref="B41:C41"/>
    <mergeCell ref="AK42:AL42"/>
    <mergeCell ref="AK43:AL43"/>
    <mergeCell ref="AK44:AL44"/>
    <mergeCell ref="B44:C44"/>
    <mergeCell ref="B45:C45"/>
    <mergeCell ref="T19:U19"/>
    <mergeCell ref="T22:U22"/>
    <mergeCell ref="V35:W35"/>
    <mergeCell ref="V36:W36"/>
    <mergeCell ref="V37:W37"/>
    <mergeCell ref="R40:S40"/>
    <mergeCell ref="R41:S4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4" max="4" width="22.63"/>
    <col customWidth="1" min="5" max="5" width="8.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E3" s="1"/>
      <c r="F3" s="3" t="s">
        <v>1</v>
      </c>
      <c r="K3" s="1"/>
      <c r="L3" s="1"/>
      <c r="M3" s="1"/>
      <c r="N3" s="4"/>
      <c r="O3" s="1"/>
      <c r="P3" s="1"/>
      <c r="Q3" s="1"/>
      <c r="R3" s="1"/>
      <c r="S3" s="1"/>
      <c r="T3" s="1"/>
      <c r="U3" s="1"/>
      <c r="V3" s="1"/>
      <c r="W3" s="1"/>
      <c r="X3" s="1"/>
      <c r="Y3" s="1"/>
      <c r="Z3" s="1"/>
    </row>
    <row r="4">
      <c r="A4" s="1"/>
      <c r="B4" s="5" t="s">
        <v>2</v>
      </c>
      <c r="E4" s="6"/>
      <c r="F4" s="7" t="s">
        <v>3</v>
      </c>
      <c r="K4" s="1"/>
      <c r="L4" s="1"/>
      <c r="M4" s="4"/>
      <c r="N4" s="4"/>
      <c r="O4" s="1"/>
      <c r="P4" s="1"/>
      <c r="Q4" s="1"/>
      <c r="R4" s="1"/>
      <c r="S4" s="1"/>
      <c r="T4" s="1"/>
      <c r="U4" s="1"/>
      <c r="V4" s="1"/>
      <c r="W4" s="1"/>
      <c r="X4" s="1"/>
      <c r="Y4" s="1"/>
      <c r="Z4" s="1"/>
    </row>
    <row r="5" ht="162.0" customHeight="1">
      <c r="A5" s="1"/>
      <c r="B5" s="7" t="s">
        <v>4</v>
      </c>
      <c r="E5" s="6"/>
      <c r="F5" s="7" t="s">
        <v>5</v>
      </c>
      <c r="K5" s="1"/>
      <c r="L5" s="1"/>
      <c r="M5" s="1"/>
      <c r="N5" s="1"/>
      <c r="O5" s="1"/>
      <c r="P5" s="1"/>
      <c r="Q5" s="1"/>
      <c r="R5" s="1"/>
      <c r="S5" s="1"/>
      <c r="T5" s="1"/>
      <c r="U5" s="1"/>
      <c r="V5" s="1"/>
      <c r="W5" s="1"/>
      <c r="X5" s="1"/>
      <c r="Y5" s="1"/>
      <c r="Z5" s="1"/>
    </row>
    <row r="6" ht="54.75" customHeight="1">
      <c r="A6" s="1"/>
      <c r="E6" s="6"/>
      <c r="F6" s="7" t="s">
        <v>6</v>
      </c>
      <c r="K6" s="1"/>
      <c r="L6" s="1"/>
      <c r="M6" s="1"/>
      <c r="N6" s="1"/>
      <c r="O6" s="1"/>
      <c r="P6" s="1"/>
      <c r="Q6" s="1"/>
      <c r="R6" s="1"/>
      <c r="S6" s="1"/>
      <c r="T6" s="1"/>
      <c r="U6" s="1"/>
      <c r="V6" s="1"/>
      <c r="W6" s="1"/>
      <c r="X6" s="1"/>
      <c r="Y6" s="1"/>
      <c r="Z6" s="1"/>
    </row>
    <row r="7" ht="98.25" customHeight="1">
      <c r="A7" s="1"/>
      <c r="B7" s="7" t="s">
        <v>7</v>
      </c>
      <c r="E7" s="6"/>
      <c r="F7" s="7" t="s">
        <v>8</v>
      </c>
      <c r="K7" s="1"/>
      <c r="L7" s="1"/>
      <c r="M7" s="1"/>
      <c r="N7" s="1"/>
      <c r="O7" s="1"/>
      <c r="P7" s="1"/>
      <c r="Q7" s="1"/>
      <c r="R7" s="1"/>
      <c r="S7" s="1"/>
      <c r="T7" s="1"/>
      <c r="U7" s="1"/>
      <c r="V7" s="1"/>
      <c r="W7" s="1"/>
      <c r="X7" s="1"/>
      <c r="Y7" s="1"/>
      <c r="Z7" s="1"/>
    </row>
    <row r="8">
      <c r="A8" s="1"/>
      <c r="B8" s="7" t="s">
        <v>9</v>
      </c>
      <c r="E8" s="6"/>
      <c r="F8" s="7" t="s">
        <v>10</v>
      </c>
      <c r="K8" s="1"/>
      <c r="L8" s="1"/>
      <c r="M8" s="1"/>
      <c r="N8" s="1"/>
      <c r="O8" s="1"/>
      <c r="P8" s="1"/>
      <c r="Q8" s="1"/>
      <c r="R8" s="1"/>
      <c r="S8" s="1"/>
      <c r="T8" s="1"/>
      <c r="U8" s="1"/>
      <c r="V8" s="1"/>
      <c r="W8" s="1"/>
      <c r="X8" s="1"/>
      <c r="Y8" s="1"/>
      <c r="Z8" s="1"/>
    </row>
    <row r="9" ht="138.0" customHeight="1">
      <c r="A9" s="1"/>
      <c r="E9" s="6"/>
      <c r="F9" s="7" t="s">
        <v>11</v>
      </c>
      <c r="K9" s="1"/>
      <c r="L9" s="1"/>
      <c r="M9" s="1"/>
      <c r="N9" s="1"/>
      <c r="O9" s="1"/>
      <c r="P9" s="1"/>
      <c r="Q9" s="1"/>
      <c r="R9" s="1"/>
      <c r="S9" s="1"/>
      <c r="T9" s="1"/>
      <c r="U9" s="1"/>
      <c r="V9" s="1"/>
      <c r="W9" s="1"/>
      <c r="X9" s="1"/>
      <c r="Y9" s="1"/>
      <c r="Z9" s="1"/>
    </row>
    <row r="10">
      <c r="A10" s="1"/>
      <c r="B10" s="7" t="s">
        <v>12</v>
      </c>
      <c r="E10" s="6"/>
      <c r="F10" s="6"/>
      <c r="G10" s="6"/>
      <c r="H10" s="6"/>
      <c r="I10" s="6"/>
      <c r="J10" s="6"/>
      <c r="K10" s="1"/>
      <c r="L10" s="1"/>
      <c r="M10" s="1"/>
      <c r="N10" s="1"/>
      <c r="O10" s="1"/>
      <c r="P10" s="1"/>
      <c r="Q10" s="1"/>
      <c r="R10" s="1"/>
      <c r="S10" s="1"/>
      <c r="T10" s="1"/>
      <c r="U10" s="1"/>
      <c r="V10" s="1"/>
      <c r="W10" s="1"/>
      <c r="X10" s="1"/>
      <c r="Y10" s="1"/>
      <c r="Z10" s="1"/>
    </row>
    <row r="11">
      <c r="A11" s="1"/>
      <c r="B11" s="1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F6:J6"/>
    <mergeCell ref="F7:J7"/>
    <mergeCell ref="B8:D9"/>
    <mergeCell ref="F8:J8"/>
    <mergeCell ref="F9:J9"/>
    <mergeCell ref="B10:D10"/>
    <mergeCell ref="B11:D11"/>
    <mergeCell ref="B3:D3"/>
    <mergeCell ref="F3:J3"/>
    <mergeCell ref="B4:D4"/>
    <mergeCell ref="F4:J4"/>
    <mergeCell ref="B5:D6"/>
    <mergeCell ref="F5:J5"/>
    <mergeCell ref="B7:D7"/>
  </mergeCells>
  <drawing r:id="rId1"/>
</worksheet>
</file>